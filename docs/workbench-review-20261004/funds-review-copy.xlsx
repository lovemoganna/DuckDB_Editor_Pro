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expected_fiat_result" sheetId="2" r:id="rId6"/>
    <sheet state="visible" name="expected_crypto_result" sheetId="3" r:id="rId7"/>
    <sheet state="visible" name="fiat_transactions" sheetId="4" r:id="rId8"/>
    <sheet state="visible" name="crypto_transactions" sheetId="5" r:id="rId9"/>
    <sheet state="visible" name="data_rules" sheetId="6" r:id="rId10"/>
    <sheet state="visible" name="qa_result" sheetId="7" r:id="rId11"/>
    <sheet state="visible" name="fix_log" sheetId="8" r:id="rId12"/>
  </sheets>
  <definedNames/>
  <calcPr/>
</workbook>
</file>

<file path=xl/sharedStrings.xml><?xml version="1.0" encoding="utf-8"?>
<sst xmlns="http://schemas.openxmlformats.org/spreadsheetml/2006/main" count="837" uniqueCount="371">
  <si>
    <t>uid</t>
  </si>
  <si>
    <t>fiat_order_id</t>
  </si>
  <si>
    <t>user_name</t>
  </si>
  <si>
    <t>direction</t>
  </si>
  <si>
    <t>asset</t>
  </si>
  <si>
    <t>country_code</t>
  </si>
  <si>
    <t>currency</t>
  </si>
  <si>
    <t>base_fiat_currency</t>
  </si>
  <si>
    <t>network</t>
  </si>
  <si>
    <t>amount</t>
  </si>
  <si>
    <t>kyc_level</t>
  </si>
  <si>
    <t>fee</t>
  </si>
  <si>
    <t>deposit_amount</t>
  </si>
  <si>
    <t>channel</t>
  </si>
  <si>
    <t>account_status</t>
  </si>
  <si>
    <t>withdrawal_amount</t>
  </si>
  <si>
    <t>status</t>
  </si>
  <si>
    <t>created_at</t>
  </si>
  <si>
    <t>net_amount</t>
  </si>
  <si>
    <t>completed_at</t>
  </si>
  <si>
    <t>fo_20250110_78423190</t>
  </si>
  <si>
    <t>Alice Chen</t>
  </si>
  <si>
    <t>USDT</t>
  </si>
  <si>
    <t>EUR</t>
  </si>
  <si>
    <t>deposit</t>
  </si>
  <si>
    <t>DE</t>
  </si>
  <si>
    <t>TRON</t>
  </si>
  <si>
    <t>active</t>
  </si>
  <si>
    <t>sepa_instant</t>
  </si>
  <si>
    <t>completed</t>
  </si>
  <si>
    <t>Bob Miller</t>
  </si>
  <si>
    <t>US</t>
  </si>
  <si>
    <t>USD</t>
  </si>
  <si>
    <t>ETH</t>
  </si>
  <si>
    <t>ETHEREUM</t>
  </si>
  <si>
    <t>fo_20250220_78423191</t>
  </si>
  <si>
    <t>BTC</t>
  </si>
  <si>
    <t>Charlie Tanaka</t>
  </si>
  <si>
    <t>BITCOIN</t>
  </si>
  <si>
    <t>JP</t>
  </si>
  <si>
    <t>GBP</t>
  </si>
  <si>
    <t>withdrawal</t>
  </si>
  <si>
    <t>David Smith</t>
  </si>
  <si>
    <t>BSC</t>
  </si>
  <si>
    <t>GB</t>
  </si>
  <si>
    <t>fo_20250315_78423192</t>
  </si>
  <si>
    <t>Elena Rostova</t>
  </si>
  <si>
    <t>sepa_credit</t>
  </si>
  <si>
    <t>ARBITRUM</t>
  </si>
  <si>
    <t>FR</t>
  </si>
  <si>
    <t>BRL</t>
  </si>
  <si>
    <t>fo_20250410_78423193</t>
  </si>
  <si>
    <t>Fatimah Al-Sayed</t>
  </si>
  <si>
    <t>AE</t>
  </si>
  <si>
    <t>TRY</t>
  </si>
  <si>
    <t>failed</t>
  </si>
  <si>
    <t>fo_20250112_61590237</t>
  </si>
  <si>
    <t>Gabriel Garcia</t>
  </si>
  <si>
    <t>BR</t>
  </si>
  <si>
    <t>wire_transfer</t>
  </si>
  <si>
    <t>fo_20250214_61590238</t>
  </si>
  <si>
    <t>Hakan Yilmaz</t>
  </si>
  <si>
    <t>TR</t>
  </si>
  <si>
    <t>Irene Jung</t>
  </si>
  <si>
    <t>KR</t>
  </si>
  <si>
    <t>fo_20250618_61590239</t>
  </si>
  <si>
    <t>frozen</t>
  </si>
  <si>
    <t>Jonas Weber</t>
  </si>
  <si>
    <t>fo_20250720_61590240</t>
  </si>
  <si>
    <t>pending_kyc</t>
  </si>
  <si>
    <t>pending</t>
  </si>
  <si>
    <t>fo_20250308_90317462</t>
  </si>
  <si>
    <t>ach</t>
  </si>
  <si>
    <t>fo_20250415_90317463</t>
  </si>
  <si>
    <t>fo_20250502_90317464</t>
  </si>
  <si>
    <t>cancelled</t>
  </si>
  <si>
    <t>fo_20250418_52840619</t>
  </si>
  <si>
    <t>faster_payments</t>
  </si>
  <si>
    <t>fo_20250525_52840620</t>
  </si>
  <si>
    <t>fo_20250810_52840621</t>
  </si>
  <si>
    <t>fo_20250912_52840622</t>
  </si>
  <si>
    <t>processing</t>
  </si>
  <si>
    <t>fo_20250520_84621953</t>
  </si>
  <si>
    <t>crypto_order_id</t>
  </si>
  <si>
    <t>fo_20250711_84621954</t>
  </si>
  <si>
    <t>tx_hash</t>
  </si>
  <si>
    <t>address</t>
  </si>
  <si>
    <t>confirmations</t>
  </si>
  <si>
    <t>fo_20250605_69248130</t>
  </si>
  <si>
    <t>co_20250110_78423190</t>
  </si>
  <si>
    <t>rule_id</t>
  </si>
  <si>
    <t>fo_20250915_69248131</t>
  </si>
  <si>
    <t>63dd1029e5ca5cf984c2ed338bcba077d3efff2b5d25c543d129490e2588a375</t>
  </si>
  <si>
    <t>table_name</t>
  </si>
  <si>
    <t>TZTs2kMxqhLKQUqAiRBqgv1EbiBPk7w2UB</t>
  </si>
  <si>
    <t>column_name</t>
  </si>
  <si>
    <t>data_type</t>
  </si>
  <si>
    <t>is_nullable</t>
  </si>
  <si>
    <t>is_unique</t>
  </si>
  <si>
    <t>allowed_values_or_pattern</t>
  </si>
  <si>
    <t>foreign_key</t>
  </si>
  <si>
    <t>business_rule_description</t>
  </si>
  <si>
    <t>R_USR_01</t>
  </si>
  <si>
    <t>users</t>
  </si>
  <si>
    <t>BIGINT</t>
  </si>
  <si>
    <t>NO</t>
  </si>
  <si>
    <t>co_20250222_78423191</t>
  </si>
  <si>
    <t>YES</t>
  </si>
  <si>
    <t>^[1-9][0-9]{8}$</t>
  </si>
  <si>
    <t>fo_20241231_43875092</t>
  </si>
  <si>
    <t>PK</t>
  </si>
  <si>
    <t>用户表主键；必须为唯一的9位数字标识符。</t>
  </si>
  <si>
    <t>R_USR_02</t>
  </si>
  <si>
    <t>VARCHAR</t>
  </si>
  <si>
    <t>^[A-Za-z ]+$</t>
  </si>
  <si>
    <t>-</t>
  </si>
  <si>
    <t>账户持有人的法定全名。</t>
  </si>
  <si>
    <t>R_USR_03</t>
  </si>
  <si>
    <t>VARCHAR(2)</t>
  </si>
  <si>
    <t>check_id</t>
  </si>
  <si>
    <t>ISO 3166-1 alpha-2 标准二字码（如 US, DE, JP, GB, FR, AE, BR, TR, KR）</t>
  </si>
  <si>
    <t>check_type</t>
  </si>
  <si>
    <t>用户常住地国家/地区二字码（ISO 3166-1）。</t>
  </si>
  <si>
    <t>R_USR_04</t>
  </si>
  <si>
    <t>rule</t>
  </si>
  <si>
    <t>pix</t>
  </si>
  <si>
    <t>VARCHAR(3)</t>
  </si>
  <si>
    <t>result</t>
  </si>
  <si>
    <t>0e641a560a1d663bc5dbc993d5e46d584a2f72554fb1109d97388c553bb651e2</t>
  </si>
  <si>
    <t>affected_rows</t>
  </si>
  <si>
    <t>EUR, USD, GBP, BRL, TRY</t>
  </si>
  <si>
    <t>severity</t>
  </si>
  <si>
    <t>与用户画像关联的主要本地法币币种。</t>
  </si>
  <si>
    <t>R_USR_05</t>
  </si>
  <si>
    <t>details</t>
  </si>
  <si>
    <t>TBE1SbTMMmmgvA6RbYPBJxmSf2Ytz1xz9L</t>
  </si>
  <si>
    <t>INTEGER</t>
  </si>
  <si>
    <t>0, 1, 2, 3</t>
  </si>
  <si>
    <t>CHK_SCH_01</t>
  </si>
  <si>
    <t>合规身份认证等级（0=未认证，1=基础认证，2=中级认证，3=高级认证）。</t>
  </si>
  <si>
    <t>R_USR_06</t>
  </si>
  <si>
    <t>Schema Check</t>
  </si>
  <si>
    <t>active, frozen, pending_kyc, closed</t>
  </si>
  <si>
    <t>用户账户的当前运营与合规状态。</t>
  </si>
  <si>
    <t>R_USR_07</t>
  </si>
  <si>
    <t>TIMESTAMP</t>
  </si>
  <si>
    <t>校验必填列字段名完整性及下划线小写命名规范（snake_case）</t>
  </si>
  <si>
    <t>fo_20250101_43875093</t>
  </si>
  <si>
    <t>YYYY-MM-DD HH:MM:SS</t>
  </si>
  <si>
    <t>用户注册时间戳；必须早于该用户的任何交易时间戳。</t>
  </si>
  <si>
    <t>R_FIA_01</t>
  </si>
  <si>
    <t>fiat_transactions</t>
  </si>
  <si>
    <t>PASSED</t>
  </si>
  <si>
    <t>^fo_[0-9]{8}_[a-z0-9]{8}$</t>
  </si>
  <si>
    <t>法币交易表主键；以 fo_ 开头的固定20位唯一标识符。</t>
  </si>
  <si>
    <t>R_FIA_02</t>
  </si>
  <si>
    <t>users.uid</t>
  </si>
  <si>
    <t>外键关联有效用户；对应值必须存在于 users 表中。</t>
  </si>
  <si>
    <t>co_20250605_78423192</t>
  </si>
  <si>
    <t>BLOCKER</t>
  </si>
  <si>
    <t>R_FIA_03</t>
  </si>
  <si>
    <t>deposit, withdrawal</t>
  </si>
  <si>
    <t>全部 7 个字段均存在且符合 lower_snake_case 规范。</t>
  </si>
  <si>
    <t>相对于交易所托管资金的资金流向（充值/提现）。</t>
  </si>
  <si>
    <t>R_FIA_04</t>
  </si>
  <si>
    <t>CHK_SCH_02</t>
  </si>
  <si>
    <t>ISO 标准法币币种代码；严禁与加密货币资产混淆。</t>
  </si>
  <si>
    <t>R_FIA_05</t>
  </si>
  <si>
    <t>全部 10 个字段均存在且符合 lower_snake_case 规范。</t>
  </si>
  <si>
    <t>DECIMAL(18,2)</t>
  </si>
  <si>
    <t>CHK_SCH_03</t>
  </si>
  <si>
    <t>&gt; 0</t>
  </si>
  <si>
    <t>crypto_transactions</t>
  </si>
  <si>
    <t>交易票面金额；必须严格大于 0。</t>
  </si>
  <si>
    <t>R_FIA_06</t>
  </si>
  <si>
    <t>全部 13 个字段均存在且符合 lower_snake_case 规范。</t>
  </si>
  <si>
    <t>CHK_CMP_01</t>
  </si>
  <si>
    <t>&gt;= 0</t>
  </si>
  <si>
    <t>Completeness Check</t>
  </si>
  <si>
    <t>支付网关或交易所收取的服务费；充值免费时为 0.00。</t>
  </si>
  <si>
    <t>校验非空列是否存在空值（NULL）或空白单元格</t>
  </si>
  <si>
    <t>R_FIA_07</t>
  </si>
  <si>
    <t>CRITICAL</t>
  </si>
  <si>
    <t>在 uid、user_name、country_code、base_fiat_currency、kyc_level、account_status、created_at 中均未检测到空值（0 个空值）。</t>
  </si>
  <si>
    <t>CHK_CMP_02</t>
  </si>
  <si>
    <t>sepa_instant, sepa_credit, wire_transfer, ach, faster_payments, pix, papara</t>
  </si>
  <si>
    <t>合规批准的支付网关集成通道。</t>
  </si>
  <si>
    <t>R_FIA_08</t>
  </si>
  <si>
    <t>0x697857752aaa8607d1961ddfecb3ec44d9fd3cc4c45097ad44c9beff38b5f6a2</t>
  </si>
  <si>
    <t>所有必填字段均无空值；completed_at 仅在非完成状态（non-completed）记录中允许为空。</t>
  </si>
  <si>
    <t>fo_20250901_31958204</t>
  </si>
  <si>
    <t>completed, pending, processing, failed, cancelled</t>
  </si>
  <si>
    <t>订单生命周期状态；仅 'completed'（已完成）订单计入预期净额汇总。</t>
  </si>
  <si>
    <t>CHK_CMP_03</t>
  </si>
  <si>
    <t>0xc453f38ebdb4343a3242b060779e7531c69454bc</t>
  </si>
  <si>
    <t>R_FIA_09</t>
  </si>
  <si>
    <t>所有必填字段均无空值；tx_hash 与 completed_at 仅在处理中或失败的转账中允许为空。</t>
  </si>
  <si>
    <t>订单发起创建时间戳。</t>
  </si>
  <si>
    <t>CHK_UNI_01</t>
  </si>
  <si>
    <t>Uniqueness Check</t>
  </si>
  <si>
    <t>R_FIA_10</t>
  </si>
  <si>
    <t>确保主键 uid 全局唯一无重复</t>
  </si>
  <si>
    <t>10 条记录包含 10 个唯一 UID，未发现重复主键。</t>
  </si>
  <si>
    <t>&gt;= created_at（未完成状态时为 NULL）</t>
  </si>
  <si>
    <t>CHK_UNI_02</t>
  </si>
  <si>
    <t>结算完成时间戳；当 status='completed' 时必填，且必须严格 &gt;= created_at。</t>
  </si>
  <si>
    <t>R_CRY_01</t>
  </si>
  <si>
    <t>确保主键 fiat_order_id 全局唯一无重复</t>
  </si>
  <si>
    <t>^co_[0-9]{8}_[a-z0-9]{8}$</t>
  </si>
  <si>
    <t>25 条记录包含 25 个唯一订单 ID，未发现重复主键。</t>
  </si>
  <si>
    <t>链上转账表主键；以 co_ 开头的固定20位唯一标识符。</t>
  </si>
  <si>
    <t>CHK_UNI_03</t>
  </si>
  <si>
    <t>R_CRY_02</t>
  </si>
  <si>
    <t>确保主键 crypto_order_id 全局唯一无重复</t>
  </si>
  <si>
    <t>papara</t>
  </si>
  <si>
    <t>co_20250320_61590237</t>
  </si>
  <si>
    <t>CHK_REF_01</t>
  </si>
  <si>
    <t>R_CRY_03</t>
  </si>
  <si>
    <t>Referential Integrity</t>
  </si>
  <si>
    <t>校验外键 uid 是否均引用有效的 users.uid</t>
  </si>
  <si>
    <t>全部 25 条法币交易记录均成功关联 users 表中的现有用户画像。</t>
  </si>
  <si>
    <t>相对于交易所钱包托管的资产流向（充值/提现）。</t>
  </si>
  <si>
    <t>CHK_REF_02</t>
  </si>
  <si>
    <t>R_CRY_04</t>
  </si>
  <si>
    <t>USDT, BTC, ETH</t>
  </si>
  <si>
    <t>数字资产代币符号。</t>
  </si>
  <si>
    <t>R_CRY_05</t>
  </si>
  <si>
    <t>全部 25 条加密交易记录均成功关联 users 表中的现有用户画像。</t>
  </si>
  <si>
    <t>CHK_VAL_01</t>
  </si>
  <si>
    <t>TRON, ETHEREUM, BITCOIN, BSC, ARBITRUM</t>
  </si>
  <si>
    <t>Validity Check</t>
  </si>
  <si>
    <t>fo_20251010_31958205</t>
  </si>
  <si>
    <t>承载指定资产的底层区块链主网协议。</t>
  </si>
  <si>
    <t>校验资金流向、币种、渠道、状态等枚举值合规性及交易金额为正数</t>
  </si>
  <si>
    <t>R_CRY_06</t>
  </si>
  <si>
    <t>HIGH</t>
  </si>
  <si>
    <t>资金流向、状态与币种均完全符合数据规则，所有金额均严格大于 0。</t>
  </si>
  <si>
    <t>DECIMAL(18,8)</t>
  </si>
  <si>
    <t>CHK_VAL_02</t>
  </si>
  <si>
    <t>校验币种、主网、地址、TxHash 格式规范及转账数量为正数</t>
  </si>
  <si>
    <t>加密代币交易数量；必须严格大于 0，精度最高支持8位小数。</t>
  </si>
  <si>
    <t>R_CRY_07</t>
  </si>
  <si>
    <t>所有主网与代币匹配均有效；地址和交易哈希语法均符合对应区块链协议规范。</t>
  </si>
  <si>
    <t>CHK_LOG_01</t>
  </si>
  <si>
    <t>Business Logic</t>
  </si>
  <si>
    <t>校验所有已完成订单的完成时间戳是否晚于或等于创建时间戳（completed_at &gt;= created_at）</t>
  </si>
  <si>
    <t>以对应资产计量的网络矿工费/Gas费（链上充值入账记为 0）。</t>
  </si>
  <si>
    <t>R_CRY_08</t>
  </si>
  <si>
    <t>全部已完成法币订单均符合时间先后逻辑约束（completed_at &gt;= created_at）。</t>
  </si>
  <si>
    <t>CHK_LOG_02</t>
  </si>
  <si>
    <t>b39506e732fd1f7a288a1ff4338028b098dc9bb0eb37d9145e48440f70849bf5</t>
  </si>
  <si>
    <t>区块链哈希格式（EVM 为 0x+64位十六进制，Tron/BTC 为 64位十六进制）</t>
  </si>
  <si>
    <t>校验所有已完成转账的时间先后逻辑及确认数是否达到门槛要求</t>
  </si>
  <si>
    <t>链上交易哈希（TxHash）；当 status='completed' 时必填。</t>
  </si>
  <si>
    <t>R_CRY_09</t>
  </si>
  <si>
    <t>所有已完成转账的区块确认数均达到所需阈值，且符合 completed_at &gt;= created_at。</t>
  </si>
  <si>
    <t>bc1q09h5eeyq6xkqfxz35sjdasv4r0uwu7sty56j3q</t>
  </si>
  <si>
    <t>CHK_REC_01</t>
  </si>
  <si>
    <t>Reconciliation Check</t>
  </si>
  <si>
    <t>expected_fiat_result</t>
  </si>
  <si>
    <t>重新从 fiat_transactions 计算 SQL 聚合值并与基准对照表核对</t>
  </si>
  <si>
    <t>链上地址格式（0x..., T..., bc1q...）</t>
  </si>
  <si>
    <t>与对应主网格式匹配的目标提现地址或充值金库地址。</t>
  </si>
  <si>
    <t>原始已完成交易汇总与 expected_fiat_result 基准表在全部 9 个用户-币种分组中达到 100% 完全匹配。</t>
  </si>
  <si>
    <t>R_CRY_10</t>
  </si>
  <si>
    <t>CHK_REC_02</t>
  </si>
  <si>
    <t>expected_crypto_result</t>
  </si>
  <si>
    <t>重新从 crypto_transactions 计算 SQL 聚合值并与基准对照表核对</t>
  </si>
  <si>
    <t>completed, confirming, processing, failed, cancelled</t>
  </si>
  <si>
    <t>co_20250801_61590238</t>
  </si>
  <si>
    <t>fo_20250920_50284719</t>
  </si>
  <si>
    <t>转账生命周期状态；仅 'completed'（已完成）订单计入预期加密净额汇总。</t>
  </si>
  <si>
    <t>原始已完成交易汇总与 expected_crypto_result 基准表在全部 14 个用户-资产-主网分组中达到 100% 完全匹配。</t>
  </si>
  <si>
    <t>3aad3f0cdb66295a3bd2cc2a65eb900b3d1662a4388bbf093fb4593da315fad8</t>
  </si>
  <si>
    <t>bc1q3glu088led8nf7j4puhy6sj4x63tfz0vypclkn</t>
  </si>
  <si>
    <t>fo_20251025_50284720</t>
  </si>
  <si>
    <t>co_20250815_61590239</t>
  </si>
  <si>
    <t>0xa19ab825bc70785a4762c5d0704d338de601f635364658929267aa7365da4400</t>
  </si>
  <si>
    <t>0x6e0a0adb598ac01b4a24cca74747862290c52668</t>
  </si>
  <si>
    <t>co_20250212_90317462</t>
  </si>
  <si>
    <t>0xb933b56829a298cdc0afd793e79c16011ac1fb6fa5fa00ffe25f4e971e59dfbd</t>
  </si>
  <si>
    <t>0xdc3487818cfda4ea4a05c495791f680aecf9d8b3</t>
  </si>
  <si>
    <t>co_20250902_90317463</t>
  </si>
  <si>
    <t>0xea0f2bd3d9dc5ed8def5298f1c68cbe8782ec64d7e6815d0c7e018d73345af38</t>
  </si>
  <si>
    <t>0x4413ae3344245ba4bd12d2b473b9c642132ce2e5</t>
  </si>
  <si>
    <t>co_20251220_90317464</t>
  </si>
  <si>
    <t>0x3b13a19c9377fe05031c01098a19ac18966a548f</t>
  </si>
  <si>
    <t>co_20250407_52840619</t>
  </si>
  <si>
    <t>0x76dee5dcb35703c649a43288fc14e2cf692bc9821031877df211823bd509e148</t>
  </si>
  <si>
    <t>0x49d045820e74c6588e1a0c26757aaef2476c22ff</t>
  </si>
  <si>
    <t>co_20250420_52840620</t>
  </si>
  <si>
    <t>e1bd98dde29c160c154b642a90fc3cc5fa29ffd2da05c2fa35d35fb8bee1e5a3</t>
  </si>
  <si>
    <t>TBGKnRW9K5wiLmhUDSLsUXJuK5ETvC83xM</t>
  </si>
  <si>
    <t>co_20251111_52840621</t>
  </si>
  <si>
    <t>b0b316bd299eee088bcdf1ae9328dd1c899294f77a63ab6a4887817e91c53ed3</t>
  </si>
  <si>
    <t>TMn9NxEKnutzexB6W3kKLbfzsLuRw9ocut</t>
  </si>
  <si>
    <t>co_20250105_84621953</t>
  </si>
  <si>
    <t>0x0d28c056661be39b220f2c211e59a5ee51db5186d5ab9629d69ee2cc89d6dfb0</t>
  </si>
  <si>
    <t>0x099c0e97614fd374d7e546dc2fcbdd52df00224a</t>
  </si>
  <si>
    <t>co_20250505_84621954</t>
  </si>
  <si>
    <t>fix_id</t>
  </si>
  <si>
    <t>issue_description</t>
  </si>
  <si>
    <t>root_cause</t>
  </si>
  <si>
    <t>affected_table_and_records</t>
  </si>
  <si>
    <t>corrective_action</t>
  </si>
  <si>
    <t>regression_status</t>
  </si>
  <si>
    <t>verified_by</t>
  </si>
  <si>
    <t>FIX_001</t>
  </si>
  <si>
    <t>历史架构中存在大写和带连字符的非标交易 ID</t>
  </si>
  <si>
    <t>历史数据表采用非统一 ID 规则，缺乏明确的业务域前缀</t>
  </si>
  <si>
    <t>fiat_transactions 与 crypto_transactions 表</t>
  </si>
  <si>
    <t>将所有法币订单 ID 统一标准化为 fo_YYYYMMDD_&lt;hex&gt;，加密订单 ID 统一为 co_YYYYMMDD_&lt;hex&gt;，强制实行固定长度与业务域隔离</t>
  </si>
  <si>
    <t>0xea497e8d88ee3ee055bd364c2e146246bb96deb5dc86f9c5505c3b292eb85b80</t>
  </si>
  <si>
    <t>已通过 (PASSED)</t>
  </si>
  <si>
    <t>0x41108ae1113dc504a0f34c39d731ac814c343b9b</t>
  </si>
  <si>
    <t>Automated QA (CHK_UNI_02, CHK_UNI_03)</t>
  </si>
  <si>
    <t>FIX_002</t>
  </si>
  <si>
    <t>跨币种混同估值汇总违规</t>
  </si>
  <si>
    <t>旧表将所有资产折算为估算的 amount_usdt_equiv，并在不同法币和加密货币之间直接混同累加</t>
  </si>
  <si>
    <t>onchain_transfers 表（amount_usdt_equiv 字段）</t>
  </si>
  <si>
    <t>彻底消除跨币种混合汇总；建立严格的多维聚合分区：法币按 uid + currency，加密货币按 uid + asset + network</t>
  </si>
  <si>
    <t>DuckDB SQL Benchmark Verification</t>
  </si>
  <si>
    <t>FIX_003</t>
  </si>
  <si>
    <t>资金流汇总统计中错误包含了非最终态交易</t>
  </si>
  <si>
    <t>处理中（pending/processing）的订单易被未添加状态过滤器的简单 SUM() 查询误计入</t>
  </si>
  <si>
    <t>在预期基准模型中强制执行严格的生命周期状态过滤（WHERE status = 'completed'），并补充明确的处理中与失败用例测试</t>
  </si>
  <si>
    <t>Automated QA (CHK_REC_01, CHK_REC_02)</t>
  </si>
  <si>
    <t>FIX_004</t>
  </si>
  <si>
    <t>区块链充值入账时的网络手续费扣减逻辑不一致</t>
  </si>
  <si>
    <t>从外部钱包充值时，接收方交易所不应在入账时扣除用户的 Gas 手续费</t>
  </si>
  <si>
    <t>co_20251010_84621955</t>
  </si>
  <si>
    <t>crypto_transactions 表</t>
  </si>
  <si>
    <t>将所有充值记录的手续费归一化为 0.00；手续费仅在用户发起提现广播时严格计收</t>
  </si>
  <si>
    <t>Automated QA (CHK_VAL_02)</t>
  </si>
  <si>
    <t>FIX_005</t>
  </si>
  <si>
    <t>潜在的时间时序反转异常（结算时间早于订单创建时间）</t>
  </si>
  <si>
    <t>合成数据中无约束的时间戳生成逻辑可能导致 completed_at &lt; created_at</t>
  </si>
  <si>
    <t>部署严格的校验约束逻辑，确保所有历史记录中 completed_at &gt;= created_at 严格成立</t>
  </si>
  <si>
    <t>Automated QA (CHK_LOG_01, CHK_LOG_02)</t>
  </si>
  <si>
    <t>6417aedbf3a07badbd672209b43886240cf096b9015d44cc53ca179b33577279</t>
  </si>
  <si>
    <t>TSEdPbLdvpu7xY9sKwGuRPLpU5BuaCqjza</t>
  </si>
  <si>
    <t>co_20250107_69248130</t>
  </si>
  <si>
    <t>360e42a95096a44553f9b6ac51a889d7355a8a472968bbc6865573e9ced82456</t>
  </si>
  <si>
    <t>TzSQmX1NuEsYWRaskDpkqVxaUtRMQ3Hrqf</t>
  </si>
  <si>
    <t>co_20250318_69248131</t>
  </si>
  <si>
    <t>d62970a686c4901f7776dd175ff0053d1af520e991121a082a88f51bcdde9637</t>
  </si>
  <si>
    <t>TdwuvV9ytQqruGcwsJcaR2SHdztSJAfztM</t>
  </si>
  <si>
    <t>co_20250709_69248132</t>
  </si>
  <si>
    <t>b811a6d96346cb2407724c1b86fac4357b0bb24a64938fff77c0214f00389e0b</t>
  </si>
  <si>
    <t>bc1q76tcqtgmgd0gdw7v0ujpnt4w929j8kc5kznj9e</t>
  </si>
  <si>
    <t>co_20250801_69248133</t>
  </si>
  <si>
    <t>0x33aeea111548a4bef60d04849b6326c2562a08a7de68b0f248e8e3f9de93af63</t>
  </si>
  <si>
    <t>0x29c14b9b9823aa3754bc21f9c4dfbe252491d85e</t>
  </si>
  <si>
    <t>confirming</t>
  </si>
  <si>
    <t>co_20251201_69248134</t>
  </si>
  <si>
    <t>0xe0b6b8387d822451eca3c2173d974ef5bf2c6fbb</t>
  </si>
  <si>
    <t>co_20241231_43875092</t>
  </si>
  <si>
    <t>233ee1f098f65a8b6832253005919d0086745c9ec55a04c7c4f8fd1b01b46b52</t>
  </si>
  <si>
    <t>TvcdwQMYE3CJ1uBT2jN5cSfNmwwyGz4syK</t>
  </si>
  <si>
    <t>co_20250101_43875093</t>
  </si>
  <si>
    <t>a604c6354367ee9df63fa4a8e4c9ac51a954ea3e2b9bf929c991345fcd6c4fc8</t>
  </si>
  <si>
    <t>T9gb744yUqjdkiaJCGLnugKmjXSsUpCb4r</t>
  </si>
  <si>
    <t>co_20251229_43875094</t>
  </si>
  <si>
    <t>7d0161907f296b3ab768712f56095ba777ac7536d241896d3a7b53fbaaa460b6</t>
  </si>
  <si>
    <t>Tvtb4VirWCMnbBktzqaCvboDmo9rSzo7nh</t>
  </si>
  <si>
    <t>co_20251231_43875095</t>
  </si>
  <si>
    <t>219361f01e2a7c60f65ca604af06a392872684ff230241b3823a9540e645df54</t>
  </si>
  <si>
    <t>TVSzNFcdNHjGcWNzbVi7movAKU9vDEUg3J</t>
  </si>
  <si>
    <t>co_20251105_31958204</t>
  </si>
  <si>
    <t>e48440f70849bf5b39506e732fd1f7a288a1ff4338028b098dc9bb0eb37d9145</t>
  </si>
  <si>
    <t>bc1q9d846392019485720192847291048572019283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</si>
</sst>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(#,##0.00);&quot;-&quot;"/>
    <numFmt numFmtId="165" formatCode="#,##0.0000;(#,##0.0000);&quot;-&quot;"/>
    <numFmt numFmtId="166" formatCode="yyyy-mm-dd hh:mm:ss"/>
    <numFmt numFmtId="167" formatCode="#,##0.00000000"/>
    <numFmt numFmtId="168" formatCode="$#,##0.00"/>
    <numFmt numFmtId="169" formatCode="0.00000000"/>
  </numFmts>
  <fonts count="6">
    <font>
      <sz val="11.0"/>
      <color rgb="FF000000"/>
      <name val="Carlito"/>
      <scheme val="minor"/>
    </font>
    <font>
      <b/>
      <sz val="10.0"/>
      <color rgb="FFFFFFFF"/>
      <name val="Roboto"/>
    </font>
    <font>
      <sz val="10.0"/>
      <color rgb="FF191919"/>
      <name val="Roboto"/>
    </font>
    <font>
      <b/>
      <sz val="10.0"/>
      <color rgb="FF143372"/>
      <name val="Roboto"/>
    </font>
    <font>
      <sz val="8.0"/>
      <color rgb="FF191919"/>
      <name val="Roboto"/>
    </font>
    <font>
      <b/>
      <sz val="10.0"/>
      <color rgb="FF065F46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1D3A8A"/>
        <bgColor rgb="FF1D3A8A"/>
      </patternFill>
    </fill>
    <fill>
      <patternFill patternType="solid">
        <fgColor rgb="FFFFFFFF"/>
        <bgColor rgb="FFFFFFFF"/>
      </patternFill>
    </fill>
    <fill>
      <patternFill patternType="solid">
        <fgColor rgb="FFF8F9FB"/>
        <bgColor rgb="FFF8F9FB"/>
      </patternFill>
    </fill>
    <fill>
      <patternFill patternType="solid">
        <fgColor rgb="FFF6F8FB"/>
        <bgColor rgb="FFF6F8FB"/>
      </patternFill>
    </fill>
    <fill>
      <patternFill patternType="solid">
        <fgColor rgb="FFE8F0FB"/>
        <bgColor rgb="FFE8F0FB"/>
      </patternFill>
    </fill>
    <fill>
      <patternFill patternType="solid">
        <fgColor rgb="FFD1F9E5"/>
        <bgColor rgb="FFD1F9E5"/>
      </patternFill>
    </fill>
  </fills>
  <borders count="10">
    <border/>
    <border>
      <left style="thin">
        <color rgb="FFCCD8E5"/>
      </left>
      <right style="thin">
        <color rgb="FFE0E8EF"/>
      </right>
      <top style="thin">
        <color rgb="FFCCD8E5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CCD8E5"/>
      </top>
      <bottom style="thin">
        <color rgb="FFE0E8EF"/>
      </bottom>
    </border>
    <border>
      <left style="thin">
        <color rgb="FFE0E8EF"/>
      </left>
      <right style="thin">
        <color rgb="FFCCD8E5"/>
      </right>
      <top style="thin">
        <color rgb="FFCCD8E5"/>
      </top>
      <bottom style="thin">
        <color rgb="FFE0E8EF"/>
      </bottom>
    </border>
    <border>
      <left style="thin">
        <color rgb="FFCCD8E5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CCD8E5"/>
      </right>
      <top style="thin">
        <color rgb="FFE0E8EF"/>
      </top>
      <bottom style="thin">
        <color rgb="FFE0E8EF"/>
      </bottom>
    </border>
    <border>
      <left style="thin">
        <color rgb="FFCCD8E5"/>
      </left>
      <right style="thin">
        <color rgb="FFE0E8EF"/>
      </right>
      <top style="thin">
        <color rgb="FFE0E8EF"/>
      </top>
      <bottom style="thin">
        <color rgb="FFCCD8E5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CCD8E5"/>
      </bottom>
    </border>
    <border>
      <left style="thin">
        <color rgb="FFE0E8EF"/>
      </left>
      <right style="thin">
        <color rgb="FFCCD8E5"/>
      </right>
      <top style="thin">
        <color rgb="FFE0E8EF"/>
      </top>
      <bottom style="thin">
        <color rgb="FFCCD8E5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0"/>
    </xf>
    <xf borderId="3" fillId="2" fontId="1" numFmtId="0" xfId="0" applyAlignment="1" applyBorder="1" applyFill="1" applyFont="1">
      <alignment horizontal="center" readingOrder="0" shrinkToFit="0" vertical="center" wrapText="0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3" fontId="2" numFmtId="49" xfId="0" applyAlignment="1" applyBorder="1" applyFill="1" applyFont="1" applyNumberFormat="1">
      <alignment horizontal="center" readingOrder="0" shrinkToFit="0" vertical="center" wrapText="1"/>
    </xf>
    <xf borderId="4" fillId="4" fontId="2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left" readingOrder="0" shrinkToFit="0" vertical="center" wrapText="1"/>
    </xf>
    <xf borderId="5" fillId="4" fontId="2" numFmtId="0" xfId="0" applyAlignment="1" applyBorder="1" applyFill="1" applyFont="1">
      <alignment horizontal="center" readingOrder="0" shrinkToFit="0" vertical="center" wrapText="1"/>
    </xf>
    <xf borderId="5" fillId="3" fontId="2" numFmtId="164" xfId="0" applyAlignment="1" applyBorder="1" applyFill="1" applyFont="1" applyNumberFormat="1">
      <alignment horizontal="center" readingOrder="0" shrinkToFit="0" vertical="center" wrapText="0"/>
    </xf>
    <xf borderId="5" fillId="3" fontId="2" numFmtId="4" xfId="0" applyAlignment="1" applyBorder="1" applyFill="1" applyFont="1" applyNumberFormat="1">
      <alignment horizontal="center" readingOrder="0" shrinkToFit="0" vertical="center" wrapText="1"/>
    </xf>
    <xf borderId="5" fillId="3" fontId="2" numFmtId="165" xfId="0" applyAlignment="1" applyBorder="1" applyFill="1" applyFont="1" applyNumberFormat="1">
      <alignment horizontal="center" readingOrder="0" shrinkToFit="0" vertical="center" wrapText="1"/>
    </xf>
    <xf borderId="6" fillId="3" fontId="2" numFmtId="166" xfId="0" applyAlignment="1" applyBorder="1" applyFill="1" applyFont="1" applyNumberFormat="1">
      <alignment horizontal="center" readingOrder="0" shrinkToFit="0" vertical="center" wrapText="0"/>
    </xf>
    <xf borderId="5" fillId="3" fontId="2" numFmtId="4" xfId="0" applyAlignment="1" applyBorder="1" applyFill="1" applyFont="1" applyNumberFormat="1">
      <alignment horizontal="center" readingOrder="0" shrinkToFit="0" vertical="center" wrapText="1"/>
    </xf>
    <xf borderId="4" fillId="5" fontId="2" numFmtId="49" xfId="0" applyAlignment="1" applyBorder="1" applyFill="1" applyFont="1" applyNumberFormat="1">
      <alignment horizontal="center" readingOrder="0" shrinkToFit="0" vertical="center" wrapText="1"/>
    </xf>
    <xf borderId="6" fillId="6" fontId="3" numFmtId="164" xfId="0" applyAlignment="1" applyBorder="1" applyFill="1" applyFont="1" applyNumberFormat="1">
      <alignment horizontal="center" shrinkToFit="0" vertical="center" wrapText="0"/>
    </xf>
    <xf borderId="5" fillId="5" fontId="2" numFmtId="0" xfId="0" applyAlignment="1" applyBorder="1" applyFill="1" applyFont="1">
      <alignment horizontal="left" readingOrder="0" shrinkToFit="0" vertical="center" wrapText="1"/>
    </xf>
    <xf borderId="6" fillId="6" fontId="3" numFmtId="165" xfId="0" applyAlignment="1" applyBorder="1" applyFill="1" applyFont="1" applyNumberFormat="1">
      <alignment horizontal="center" shrinkToFit="0" vertical="center" wrapText="1"/>
    </xf>
    <xf borderId="5" fillId="5" fontId="2" numFmtId="0" xfId="0" applyAlignment="1" applyBorder="1" applyFill="1" applyFont="1">
      <alignment horizontal="center" readingOrder="0" shrinkToFit="0" vertical="center" wrapText="1"/>
    </xf>
    <xf borderId="5" fillId="3" fontId="2" numFmtId="166" xfId="0" applyAlignment="1" applyBorder="1" applyFill="1" applyFont="1" applyNumberFormat="1">
      <alignment horizontal="center" readingOrder="0" shrinkToFit="0" vertical="center" wrapText="1"/>
    </xf>
    <xf borderId="6" fillId="5" fontId="2" numFmtId="166" xfId="0" applyAlignment="1" applyBorder="1" applyFill="1" applyFont="1" applyNumberFormat="1">
      <alignment horizontal="center" readingOrder="0" shrinkToFit="0" vertical="center" wrapText="0"/>
    </xf>
    <xf borderId="6" fillId="3" fontId="2" numFmtId="166" xfId="0" applyAlignment="1" applyBorder="1" applyFill="1" applyFont="1" applyNumberFormat="1">
      <alignment horizontal="center" readingOrder="0" shrinkToFit="0" vertical="center" wrapText="1"/>
    </xf>
    <xf borderId="4" fillId="4" fontId="2" numFmtId="0" xfId="0" applyAlignment="1" applyBorder="1" applyFill="1" applyFont="1">
      <alignment horizontal="center" readingOrder="0" shrinkToFit="0" vertical="center" wrapText="0"/>
    </xf>
    <xf borderId="5" fillId="4" fontId="2" numFmtId="0" xfId="0" applyAlignment="1" applyBorder="1" applyFill="1" applyFont="1">
      <alignment horizontal="center" readingOrder="0" shrinkToFit="0" vertical="center" wrapText="0"/>
    </xf>
    <xf borderId="7" fillId="4" fontId="2" numFmtId="0" xfId="0" applyAlignment="1" applyBorder="1" applyFill="1" applyFont="1">
      <alignment horizontal="center" readingOrder="0" shrinkToFit="0" vertical="center" wrapText="0"/>
    </xf>
    <xf borderId="5" fillId="3" fontId="2" numFmtId="165" xfId="0" applyAlignment="1" applyBorder="1" applyFill="1" applyFont="1" applyNumberFormat="1">
      <alignment horizontal="center" readingOrder="0" shrinkToFit="0" vertical="center" wrapText="0"/>
    </xf>
    <xf borderId="8" fillId="4" fontId="2" numFmtId="0" xfId="0" applyAlignment="1" applyBorder="1" applyFill="1" applyFont="1">
      <alignment horizontal="center" readingOrder="0" shrinkToFit="0" vertical="center" wrapText="0"/>
    </xf>
    <xf borderId="8" fillId="3" fontId="2" numFmtId="164" xfId="0" applyAlignment="1" applyBorder="1" applyFill="1" applyFont="1" applyNumberFormat="1">
      <alignment horizontal="center" readingOrder="0" shrinkToFit="0" vertical="center" wrapText="0"/>
    </xf>
    <xf borderId="6" fillId="6" fontId="3" numFmtId="165" xfId="0" applyAlignment="1" applyBorder="1" applyFill="1" applyFont="1" applyNumberFormat="1">
      <alignment horizontal="center" shrinkToFit="0" vertical="center" wrapText="0"/>
    </xf>
    <xf borderId="9" fillId="6" fontId="3" numFmtId="164" xfId="0" applyAlignment="1" applyBorder="1" applyFill="1" applyFont="1" applyNumberFormat="1">
      <alignment horizontal="center" shrinkToFit="0" vertical="center" wrapText="0"/>
    </xf>
    <xf borderId="7" fillId="5" fontId="2" numFmtId="49" xfId="0" applyAlignment="1" applyBorder="1" applyFill="1" applyFont="1" applyNumberFormat="1">
      <alignment horizontal="center" readingOrder="0" shrinkToFit="0" vertical="center" wrapText="1"/>
    </xf>
    <xf borderId="8" fillId="5" fontId="2" numFmtId="0" xfId="0" applyAlignment="1" applyBorder="1" applyFill="1" applyFont="1">
      <alignment horizontal="left" readingOrder="0" shrinkToFit="0" vertical="center" wrapText="1"/>
    </xf>
    <xf borderId="8" fillId="5" fontId="2" numFmtId="0" xfId="0" applyAlignment="1" applyBorder="1" applyFill="1" applyFont="1">
      <alignment horizontal="center" readingOrder="0" shrinkToFit="0" vertical="center" wrapText="1"/>
    </xf>
    <xf borderId="9" fillId="5" fontId="2" numFmtId="166" xfId="0" applyAlignment="1" applyBorder="1" applyFill="1" applyFont="1" applyNumberFormat="1">
      <alignment horizontal="center" readingOrder="0" shrinkToFit="0" vertical="center" wrapText="0"/>
    </xf>
    <xf borderId="6" fillId="3" fontId="2" numFmtId="166" xfId="0" applyAlignment="1" applyBorder="1" applyFill="1" applyFont="1" applyNumberFormat="1">
      <alignment horizontal="center" shrinkToFit="0" vertical="center" wrapText="1"/>
    </xf>
    <xf borderId="8" fillId="3" fontId="2" numFmtId="165" xfId="0" applyAlignment="1" applyBorder="1" applyFill="1" applyFont="1" applyNumberFormat="1">
      <alignment horizontal="center" readingOrder="0" shrinkToFit="0" vertical="center" wrapText="0"/>
    </xf>
    <xf borderId="9" fillId="6" fontId="3" numFmtId="165" xfId="0" applyAlignment="1" applyBorder="1" applyFill="1" applyFont="1" applyNumberFormat="1">
      <alignment horizontal="center" shrinkToFit="0" vertical="center" wrapText="0"/>
    </xf>
    <xf borderId="5" fillId="3" fontId="2" numFmtId="167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5" fillId="3" fontId="2" numFmtId="49" xfId="0" applyAlignment="1" applyBorder="1" applyFill="1" applyFont="1" applyNumberForma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5" fillId="3" fontId="2" numFmtId="3" xfId="0" applyAlignment="1" applyBorder="1" applyFill="1" applyFont="1" applyNumberForma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5" fillId="3" fontId="4" numFmtId="168" xfId="0" applyAlignment="1" applyBorder="1" applyFill="1" applyFont="1" applyNumberForma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left" readingOrder="0" shrinkToFit="0" vertical="center" wrapText="1"/>
    </xf>
    <xf borderId="6" fillId="3" fontId="4" numFmtId="0" xfId="0" applyAlignment="1" applyBorder="1" applyFill="1" applyFont="1">
      <alignment horizontal="left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5" fillId="3" fontId="2" numFmtId="4" xfId="0" applyAlignment="1" applyBorder="1" applyFill="1" applyFont="1" applyNumberFormat="1">
      <alignment horizontal="center" readingOrder="0" shrinkToFit="0" vertical="center" wrapText="1"/>
    </xf>
    <xf borderId="5" fillId="3" fontId="2" numFmtId="169" xfId="0" applyAlignment="1" applyBorder="1" applyFill="1" applyFont="1" applyNumberFormat="1">
      <alignment horizontal="left" readingOrder="0" shrinkToFit="0" vertical="center" wrapText="1"/>
    </xf>
    <xf borderId="5" fillId="3" fontId="2" numFmtId="169" xfId="0" applyAlignment="1" applyBorder="1" applyFill="1" applyFont="1" applyNumberFormat="1">
      <alignment horizontal="center" readingOrder="0" shrinkToFit="0" vertical="center" wrapText="1"/>
    </xf>
    <xf borderId="5" fillId="3" fontId="2" numFmtId="3" xfId="0" applyAlignment="1" applyBorder="1" applyFill="1" applyFont="1" applyNumberForma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6" fillId="3" fontId="2" numFmtId="0" xfId="0" applyAlignment="1" applyBorder="1" applyFill="1" applyFont="1">
      <alignment horizontal="left" readingOrder="0" shrinkToFit="0" vertical="center" wrapText="1"/>
    </xf>
    <xf borderId="5" fillId="3" fontId="2" numFmtId="0" xfId="0" applyAlignment="1" applyBorder="1" applyFill="1" applyFont="1">
      <alignment horizontal="left" readingOrder="0" shrinkToFit="0" vertical="center" wrapText="1"/>
    </xf>
    <xf borderId="7" fillId="3" fontId="2" numFmtId="0" xfId="0" applyAlignment="1" applyBorder="1" applyFill="1" applyFont="1">
      <alignment horizontal="center" readingOrder="0" shrinkToFit="0" vertical="center" wrapText="1"/>
    </xf>
    <xf borderId="7" fillId="3" fontId="4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left" readingOrder="0" shrinkToFit="0" vertical="center" wrapText="1"/>
    </xf>
    <xf borderId="8" fillId="3" fontId="4" numFmtId="0" xfId="0" applyAlignment="1" applyBorder="1" applyFill="1" applyFont="1">
      <alignment horizontal="left" readingOrder="0" shrinkToFit="0" vertical="center" wrapText="1"/>
    </xf>
    <xf borderId="8" fillId="3" fontId="2" numFmtId="3" xfId="0" applyAlignment="1" applyBorder="1" applyFill="1" applyFont="1" applyNumberFormat="1">
      <alignment horizontal="center" readingOrder="0" shrinkToFit="0" vertical="center" wrapText="1"/>
    </xf>
    <xf borderId="9" fillId="3" fontId="4" numFmtId="0" xfId="0" applyAlignment="1" applyBorder="1" applyFill="1" applyFont="1">
      <alignment horizontal="left" readingOrder="0" shrinkToFit="0" vertical="center" wrapText="1"/>
    </xf>
    <xf borderId="9" fillId="3" fontId="2" numFmtId="0" xfId="0" applyAlignment="1" applyBorder="1" applyFill="1" applyFont="1">
      <alignment horizontal="left" readingOrder="0" shrinkToFit="0" vertical="center" wrapText="1"/>
    </xf>
    <xf borderId="7" fillId="3" fontId="2" numFmtId="49" xfId="0" applyAlignment="1" applyBorder="1" applyFill="1" applyFont="1" applyNumberFormat="1">
      <alignment horizontal="center" readingOrder="0" shrinkToFit="0" vertical="center" wrapText="0"/>
    </xf>
    <xf borderId="8" fillId="3" fontId="2" numFmtId="0" xfId="0" applyAlignment="1" applyBorder="1" applyFill="1" applyFont="1">
      <alignment horizontal="center" readingOrder="0" shrinkToFit="0" vertical="center" wrapText="0"/>
    </xf>
    <xf borderId="8" fillId="3" fontId="2" numFmtId="4" xfId="0" applyAlignment="1" applyBorder="1" applyFill="1" applyFont="1" applyNumberFormat="1">
      <alignment horizontal="center" readingOrder="0" shrinkToFit="0" vertical="center" wrapText="0"/>
    </xf>
    <xf borderId="8" fillId="3" fontId="2" numFmtId="166" xfId="0" applyAlignment="1" applyBorder="1" applyFill="1" applyFont="1" applyNumberFormat="1">
      <alignment horizontal="center" readingOrder="0" shrinkToFit="0" vertical="center" wrapText="0"/>
    </xf>
    <xf borderId="9" fillId="3" fontId="2" numFmtId="166" xfId="0" applyAlignment="1" applyBorder="1" applyFill="1" applyFont="1" applyNumberFormat="1">
      <alignment horizontal="center" readingOrder="0" shrinkToFit="0" vertical="center" wrapText="0"/>
    </xf>
    <xf borderId="5" fillId="3" fontId="2" numFmtId="49" xfId="0" applyAlignment="1" applyBorder="1" applyFill="1" applyFont="1" applyNumberFormat="1">
      <alignment horizontal="center" shrinkToFit="0" vertical="center" wrapText="0"/>
    </xf>
    <xf borderId="5" fillId="7" fontId="5" numFmtId="0" xfId="0" applyAlignment="1" applyBorder="1" applyFill="1" applyFont="1">
      <alignment horizontal="center" readingOrder="0" shrinkToFit="0" vertical="center" wrapText="1"/>
    </xf>
    <xf borderId="8" fillId="7" fontId="5" numFmtId="0" xfId="0" applyAlignment="1" applyBorder="1" applyFill="1" applyFont="1">
      <alignment horizontal="center" readingOrder="0" shrinkToFit="0" vertical="center" wrapText="1"/>
    </xf>
    <xf borderId="7" fillId="3" fontId="2" numFmtId="49" xfId="0" applyAlignment="1" applyBorder="1" applyFill="1" applyFont="1" applyNumberForma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1"/>
    </xf>
    <xf borderId="8" fillId="3" fontId="2" numFmtId="167" xfId="0" applyAlignment="1" applyBorder="1" applyFill="1" applyFont="1" applyNumberFormat="1">
      <alignment horizontal="center" readingOrder="0" shrinkToFit="0" vertical="center" wrapText="1"/>
    </xf>
    <xf borderId="8" fillId="3" fontId="2" numFmtId="49" xfId="0" applyAlignment="1" applyBorder="1" applyFill="1" applyFont="1" applyNumberFormat="1">
      <alignment horizontal="center" readingOrder="0" shrinkToFit="0" vertical="center" wrapText="0"/>
    </xf>
    <xf borderId="8" fillId="3" fontId="2" numFmtId="3" xfId="0" applyAlignment="1" applyBorder="1" applyFill="1" applyFont="1" applyNumberFormat="1">
      <alignment horizontal="center" readingOrder="0" shrinkToFit="0" vertical="center" wrapText="1"/>
    </xf>
    <xf borderId="8" fillId="3" fontId="2" numFmtId="166" xfId="0" applyAlignment="1" applyBorder="1" applyFill="1" applyFont="1" applyNumberFormat="1">
      <alignment horizontal="center" readingOrder="0" shrinkToFit="0" vertical="center" wrapText="1"/>
    </xf>
    <xf borderId="9" fillId="3" fontId="2" numFmtId="166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233A52"/>
          <bgColor rgb="FF233A52"/>
        </patternFill>
      </fill>
      <border/>
    </dxf>
    <dxf>
      <font/>
      <fill>
        <patternFill patternType="solid">
          <fgColor rgb="FF1A365D"/>
          <bgColor rgb="FF1A365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B"/>
          <bgColor rgb="FFF7F9FB"/>
        </patternFill>
      </fill>
      <border/>
    </dxf>
    <dxf>
      <font/>
      <fill>
        <patternFill patternType="solid">
          <fgColor rgb="FFEFF4F8"/>
          <bgColor rgb="FFEFF4F8"/>
        </patternFill>
      </fill>
      <border/>
    </dxf>
    <dxf>
      <border>
        <left style="thin">
          <color rgb="FF1A365D"/>
        </left>
        <right style="thin">
          <color rgb="FF1A365D"/>
        </right>
        <top style="thin">
          <color rgb="FF1A365D"/>
        </top>
        <bottom style="thin">
          <color rgb="FF1A365D"/>
        </bottom>
      </border>
    </dxf>
    <dxf>
      <font>
        <b/>
        <color rgb="FF065F46"/>
      </font>
      <fill>
        <patternFill patternType="solid">
          <fgColor rgb="FFD1F9E5"/>
          <bgColor rgb="FFD1F9E5"/>
        </patternFill>
      </fill>
      <border/>
    </dxf>
    <dxf>
      <font>
        <b/>
        <color rgb="FF92400E"/>
      </font>
      <fill>
        <patternFill patternType="solid">
          <fgColor rgb="FFFDF3C6"/>
          <bgColor rgb="FFFDF3C6"/>
        </patternFill>
      </fill>
      <border/>
    </dxf>
    <dxf>
      <font>
        <b/>
        <color rgb="FF991B1B"/>
      </font>
      <fill>
        <patternFill patternType="solid">
          <fgColor rgb="FFFDE1E1"/>
          <bgColor rgb="FFFDE1E1"/>
        </patternFill>
      </fill>
      <border/>
    </dxf>
    <dxf>
      <font>
        <b/>
        <color rgb="FF9B1C1C"/>
      </font>
      <fill>
        <patternFill patternType="solid">
          <fgColor rgb="FFFCE8E8"/>
          <bgColor rgb="FFFCE8E8"/>
        </patternFill>
      </fill>
      <border/>
    </dxf>
    <dxf>
      <font>
        <b/>
        <color rgb="FF703E12"/>
      </font>
      <fill>
        <patternFill patternType="solid">
          <fgColor rgb="FFFDEF89"/>
          <bgColor rgb="FFFDEF89"/>
        </patternFill>
      </fill>
      <border/>
    </dxf>
    <dxf>
      <font>
        <b/>
        <color rgb="FF03533E"/>
      </font>
      <fill>
        <patternFill patternType="solid">
          <fgColor rgb="FFDEF7EB"/>
          <bgColor rgb="FFDEF7EB"/>
        </patternFill>
      </fill>
      <border/>
    </dxf>
  </dxfs>
  <tableStyles count="8">
    <tableStyle count="4" pivot="0" name="expected_fiat_result-style">
      <tableStyleElement dxfId="2" type="headerRow"/>
      <tableStyleElement dxfId="3" type="firstRowStripe"/>
      <tableStyleElement dxfId="4" type="secondRowStripe"/>
      <tableStyleElement dxfId="6" size="0" type="wholeTable"/>
    </tableStyle>
    <tableStyle count="4" pivot="0" name="fiat_transaction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expected_crypto_result-style">
      <tableStyleElement dxfId="2" type="headerRow"/>
      <tableStyleElement dxfId="3" type="firstRowStripe"/>
      <tableStyleElement dxfId="4" type="secondRowStripe"/>
      <tableStyleElement dxfId="6" size="0" type="wholeTable"/>
    </tableStyle>
    <tableStyle count="4" pivot="0" name="user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crypto_transaction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3" pivot="0" name="data_rules-style">
      <tableStyleElement dxfId="2" type="headerRow"/>
      <tableStyleElement dxfId="3" type="firstRowStripe"/>
      <tableStyleElement dxfId="4" type="secondRowStripe"/>
    </tableStyle>
    <tableStyle count="3" pivot="0" name="qa_result-style">
      <tableStyleElement dxfId="2" type="headerRow"/>
      <tableStyleElement dxfId="3" type="firstRowStripe"/>
      <tableStyleElement dxfId="4" type="secondRowStripe"/>
    </tableStyle>
    <tableStyle count="3" pivot="0" name="fix_log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Customers" name="Customers" id="1">
  <tableColumns count="7">
    <tableColumn name="uid" id="1"/>
    <tableColumn name="user_name" id="2"/>
    <tableColumn name="country_code" id="3"/>
    <tableColumn name="base_fiat_currency" id="4"/>
    <tableColumn name="kyc_level" id="5"/>
    <tableColumn name="account_status" id="6"/>
    <tableColumn name="created_at" id="7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E10" displayName="FiatChannelRef" name="FiatChannelRef" id="2">
  <tableColumns count="5">
    <tableColumn name="uid" id="1"/>
    <tableColumn name="currency" id="2"/>
    <tableColumn name="deposit_amount" id="3"/>
    <tableColumn name="withdrawal_amount" id="4"/>
    <tableColumn name="net_amount" id="5"/>
  </tableColumns>
  <tableStyleInfo name="expected_fiat_result-style" showColumnStripes="0" showFirstColumn="1" showLastColumn="1" showRowStripes="1"/>
</table>
</file>

<file path=xl/tables/table3.xml><?xml version="1.0" encoding="utf-8"?>
<table xmlns="http://schemas.openxmlformats.org/spreadsheetml/2006/main" ref="A1:F15" displayName="AssetNetworkRef" name="AssetNetworkRef" id="4">
  <tableColumns count="6">
    <tableColumn name="uid" id="1"/>
    <tableColumn name="asset" id="2"/>
    <tableColumn name="network" id="3"/>
    <tableColumn name="deposit_amount" id="4"/>
    <tableColumn name="withdrawal_amount" id="5"/>
    <tableColumn name="net_amount" id="6"/>
  </tableColumns>
  <tableStyleInfo name="expected_crypto_result-style" showColumnStripes="0" showFirstColumn="1" showLastColumn="1" showRowStripes="1"/>
</table>
</file>

<file path=xl/tables/table4.xml><?xml version="1.0" encoding="utf-8"?>
<table xmlns="http://schemas.openxmlformats.org/spreadsheetml/2006/main" ref="A1:J26" displayName="FiatOrders" name="FiatOrders" id="3">
  <tableColumns count="10">
    <tableColumn name="fiat_order_id" id="1"/>
    <tableColumn name="uid" id="2"/>
    <tableColumn name="direction" id="3"/>
    <tableColumn name="currency" id="4"/>
    <tableColumn name="amount" id="5"/>
    <tableColumn name="fee" id="6"/>
    <tableColumn name="channel" id="7"/>
    <tableColumn name="status" id="8"/>
    <tableColumn name="created_at" id="9"/>
    <tableColumn name="completed_at" id="10"/>
  </tableColumns>
  <tableStyleInfo name="fiat_transactions-style" showColumnStripes="0" showFirstColumn="1" showLastColumn="1" showRowStripes="1"/>
</table>
</file>

<file path=xl/tables/table5.xml><?xml version="1.0" encoding="utf-8"?>
<table xmlns="http://schemas.openxmlformats.org/spreadsheetml/2006/main" ref="A1:M26" displayName="链上转账" name="链上转账" id="5">
  <tableColumns count="13">
    <tableColumn name="crypto_order_id" id="1"/>
    <tableColumn name="uid" id="2"/>
    <tableColumn name="direction" id="3"/>
    <tableColumn name="asset" id="4"/>
    <tableColumn name="network" id="5"/>
    <tableColumn name="amount" id="6"/>
    <tableColumn name="fee" id="7"/>
    <tableColumn name="tx_hash" id="8"/>
    <tableColumn name="address" id="9"/>
    <tableColumn name="status" id="10"/>
    <tableColumn name="confirmations" id="11"/>
    <tableColumn name="created_at" id="12"/>
    <tableColumn name="completed_at" id="13"/>
  </tableColumns>
  <tableStyleInfo name="crypto_transactions-style" showColumnStripes="0" showFirstColumn="1" showLastColumn="1" showRowStripes="1"/>
</table>
</file>

<file path=xl/tables/table6.xml><?xml version="1.0" encoding="utf-8"?>
<table xmlns="http://schemas.openxmlformats.org/spreadsheetml/2006/main" ref="A1:I28" displayName="Table_1" name="Table_1" id="6">
  <tableColumns count="9">
    <tableColumn name="rule_id" id="1"/>
    <tableColumn name="table_name" id="2"/>
    <tableColumn name="column_name" id="3"/>
    <tableColumn name="data_type" id="4"/>
    <tableColumn name="is_nullable" id="5"/>
    <tableColumn name="is_unique" id="6"/>
    <tableColumn name="allowed_values_or_pattern" id="7"/>
    <tableColumn name="foreign_key" id="8"/>
    <tableColumn name="business_rule_description" id="9"/>
  </tableColumns>
  <tableStyleInfo name="data_rules-style" showColumnStripes="0" showFirstColumn="1" showLastColumn="1" showRowStripes="1"/>
</table>
</file>

<file path=xl/tables/table7.xml><?xml version="1.0" encoding="utf-8"?>
<table xmlns="http://schemas.openxmlformats.org/spreadsheetml/2006/main" ref="A1:H18" displayName="Table_2" name="Table_2" id="7">
  <tableColumns count="8">
    <tableColumn name="check_id" id="1"/>
    <tableColumn name="check_type" id="2"/>
    <tableColumn name="table_name" id="3"/>
    <tableColumn name="rule" id="4"/>
    <tableColumn name="result" id="5"/>
    <tableColumn name="affected_rows" id="6"/>
    <tableColumn name="severity" id="7"/>
    <tableColumn name="details" id="8"/>
  </tableColumns>
  <tableStyleInfo name="qa_result-style" showColumnStripes="0" showFirstColumn="1" showLastColumn="1" showRowStripes="1"/>
</table>
</file>

<file path=xl/tables/table8.xml><?xml version="1.0" encoding="utf-8"?>
<table xmlns="http://schemas.openxmlformats.org/spreadsheetml/2006/main" ref="A1:G6" displayName="Table_3" name="Table_3" id="8">
  <tableColumns count="7">
    <tableColumn name="fix_id" id="1"/>
    <tableColumn name="issue_description" id="2"/>
    <tableColumn name="root_cause" id="3"/>
    <tableColumn name="affected_table_and_records" id="4"/>
    <tableColumn name="corrective_action" id="5"/>
    <tableColumn name="regression_status" id="6"/>
    <tableColumn name="verified_by" id="7"/>
  </tableColumns>
  <tableStyleInfo name="fix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5.25"/>
    <col customWidth="1" min="3" max="3" width="15.63"/>
    <col customWidth="1" min="4" max="4" width="19.63"/>
    <col customWidth="1" min="5" max="5" width="14.5"/>
    <col customWidth="1" min="6" max="6" width="18.63"/>
    <col customWidth="1" min="7" max="7" width="17.0"/>
    <col customWidth="1" min="8" max="26" width="8.63"/>
  </cols>
  <sheetData>
    <row r="1" ht="24.0" customHeight="1">
      <c r="A1" s="1" t="s">
        <v>0</v>
      </c>
      <c r="B1" s="2" t="s">
        <v>2</v>
      </c>
      <c r="C1" s="2" t="s">
        <v>5</v>
      </c>
      <c r="D1" s="2" t="s">
        <v>7</v>
      </c>
      <c r="E1" s="2" t="s">
        <v>10</v>
      </c>
      <c r="F1" s="2" t="s">
        <v>14</v>
      </c>
      <c r="G1" s="4" t="s">
        <v>17</v>
      </c>
    </row>
    <row r="2" ht="21.0" customHeight="1">
      <c r="A2" s="6">
        <v>7.84231905E8</v>
      </c>
      <c r="B2" s="9" t="s">
        <v>21</v>
      </c>
      <c r="C2" s="8" t="s">
        <v>25</v>
      </c>
      <c r="D2" s="8" t="s">
        <v>23</v>
      </c>
      <c r="E2" s="8">
        <v>2.0</v>
      </c>
      <c r="F2" s="8" t="s">
        <v>27</v>
      </c>
      <c r="G2" s="14">
        <v>45306.354166666664</v>
      </c>
    </row>
    <row r="3" ht="21.0" customHeight="1">
      <c r="A3" s="16">
        <v>6.15902374E8</v>
      </c>
      <c r="B3" s="18" t="s">
        <v>30</v>
      </c>
      <c r="C3" s="20" t="s">
        <v>31</v>
      </c>
      <c r="D3" s="20" t="s">
        <v>32</v>
      </c>
      <c r="E3" s="20">
        <v>3.0</v>
      </c>
      <c r="F3" s="20" t="s">
        <v>27</v>
      </c>
      <c r="G3" s="22">
        <v>45332.59375</v>
      </c>
    </row>
    <row r="4" ht="21.0" customHeight="1">
      <c r="A4" s="6">
        <v>9.03174628E8</v>
      </c>
      <c r="B4" s="9" t="s">
        <v>37</v>
      </c>
      <c r="C4" s="8" t="s">
        <v>39</v>
      </c>
      <c r="D4" s="8" t="s">
        <v>32</v>
      </c>
      <c r="E4" s="8">
        <v>1.0</v>
      </c>
      <c r="F4" s="8" t="s">
        <v>27</v>
      </c>
      <c r="G4" s="14">
        <v>45356.40625</v>
      </c>
    </row>
    <row r="5" ht="21.0" customHeight="1">
      <c r="A5" s="16">
        <v>5.28406193E8</v>
      </c>
      <c r="B5" s="18" t="s">
        <v>42</v>
      </c>
      <c r="C5" s="20" t="s">
        <v>44</v>
      </c>
      <c r="D5" s="20" t="s">
        <v>40</v>
      </c>
      <c r="E5" s="20">
        <v>2.0</v>
      </c>
      <c r="F5" s="20" t="s">
        <v>27</v>
      </c>
      <c r="G5" s="22">
        <v>45394.47222222222</v>
      </c>
    </row>
    <row r="6" ht="21.0" customHeight="1">
      <c r="A6" s="6">
        <v>8.46219537E8</v>
      </c>
      <c r="B6" s="9" t="s">
        <v>46</v>
      </c>
      <c r="C6" s="8" t="s">
        <v>49</v>
      </c>
      <c r="D6" s="8" t="s">
        <v>23</v>
      </c>
      <c r="E6" s="8">
        <v>2.0</v>
      </c>
      <c r="F6" s="8" t="s">
        <v>27</v>
      </c>
      <c r="G6" s="14">
        <v>45430.694444444445</v>
      </c>
    </row>
    <row r="7" ht="21.0" customHeight="1">
      <c r="A7" s="16">
        <v>6.92481305E8</v>
      </c>
      <c r="B7" s="18" t="s">
        <v>52</v>
      </c>
      <c r="C7" s="20" t="s">
        <v>53</v>
      </c>
      <c r="D7" s="20" t="s">
        <v>32</v>
      </c>
      <c r="E7" s="20">
        <v>3.0</v>
      </c>
      <c r="F7" s="20" t="s">
        <v>27</v>
      </c>
      <c r="G7" s="22">
        <v>45444.42361111111</v>
      </c>
    </row>
    <row r="8" ht="21.0" customHeight="1">
      <c r="A8" s="6">
        <v>4.38750921E8</v>
      </c>
      <c r="B8" s="9" t="s">
        <v>57</v>
      </c>
      <c r="C8" s="8" t="s">
        <v>58</v>
      </c>
      <c r="D8" s="8" t="s">
        <v>50</v>
      </c>
      <c r="E8" s="8">
        <v>2.0</v>
      </c>
      <c r="F8" s="8" t="s">
        <v>27</v>
      </c>
      <c r="G8" s="14">
        <v>45495.541666666664</v>
      </c>
    </row>
    <row r="9" ht="21.0" customHeight="1">
      <c r="A9" s="16">
        <v>3.19582046E8</v>
      </c>
      <c r="B9" s="18" t="s">
        <v>61</v>
      </c>
      <c r="C9" s="20" t="s">
        <v>62</v>
      </c>
      <c r="D9" s="20" t="s">
        <v>54</v>
      </c>
      <c r="E9" s="20">
        <v>1.0</v>
      </c>
      <c r="F9" s="20" t="s">
        <v>27</v>
      </c>
      <c r="G9" s="22">
        <v>45534.64236111111</v>
      </c>
    </row>
    <row r="10" ht="21.0" customHeight="1">
      <c r="A10" s="6">
        <v>5.02847193E8</v>
      </c>
      <c r="B10" s="9" t="s">
        <v>63</v>
      </c>
      <c r="C10" s="8" t="s">
        <v>64</v>
      </c>
      <c r="D10" s="8" t="s">
        <v>32</v>
      </c>
      <c r="E10" s="8">
        <v>2.0</v>
      </c>
      <c r="F10" s="8" t="s">
        <v>66</v>
      </c>
      <c r="G10" s="14">
        <v>45549.78472222222</v>
      </c>
    </row>
    <row r="11" ht="21.0" customHeight="1">
      <c r="A11" s="32">
        <v>2.1948573E8</v>
      </c>
      <c r="B11" s="33" t="s">
        <v>67</v>
      </c>
      <c r="C11" s="34" t="s">
        <v>25</v>
      </c>
      <c r="D11" s="34" t="s">
        <v>23</v>
      </c>
      <c r="E11" s="34">
        <v>0.0</v>
      </c>
      <c r="F11" s="34" t="s">
        <v>69</v>
      </c>
      <c r="G11" s="35">
        <v>45601.5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8.75"/>
    <col customWidth="1" min="3" max="3" width="17.5"/>
    <col customWidth="1" min="4" max="4" width="20.13"/>
    <col customWidth="1" min="5" max="5" width="14.38"/>
    <col customWidth="1" min="6" max="26" width="8.63"/>
  </cols>
  <sheetData>
    <row r="1" ht="24.0" customHeight="1">
      <c r="A1" s="1" t="s">
        <v>0</v>
      </c>
      <c r="B1" s="2" t="s">
        <v>6</v>
      </c>
      <c r="C1" s="3" t="s">
        <v>12</v>
      </c>
      <c r="D1" s="3" t="s">
        <v>15</v>
      </c>
      <c r="E1" s="4" t="s">
        <v>18</v>
      </c>
    </row>
    <row r="2" ht="21.0" customHeight="1">
      <c r="A2" s="7">
        <v>7.84231905E8</v>
      </c>
      <c r="B2" s="10" t="s">
        <v>23</v>
      </c>
      <c r="C2" s="11">
        <v>3500.0</v>
      </c>
      <c r="D2" s="11">
        <v>500.0</v>
      </c>
      <c r="E2" s="17">
        <f t="shared" ref="E2:E10" si="1">C2-D2</f>
        <v>3000</v>
      </c>
    </row>
    <row r="3" ht="21.0" customHeight="1">
      <c r="A3" s="7">
        <v>6.15902374E8</v>
      </c>
      <c r="B3" s="10" t="s">
        <v>32</v>
      </c>
      <c r="C3" s="11">
        <v>50000.0</v>
      </c>
      <c r="D3" s="11">
        <v>17000.0</v>
      </c>
      <c r="E3" s="17">
        <f t="shared" si="1"/>
        <v>33000</v>
      </c>
    </row>
    <row r="4" ht="21.0" customHeight="1">
      <c r="A4" s="7">
        <v>9.03174628E8</v>
      </c>
      <c r="B4" s="10" t="s">
        <v>32</v>
      </c>
      <c r="C4" s="11">
        <v>1000.0</v>
      </c>
      <c r="D4" s="11">
        <v>450.0</v>
      </c>
      <c r="E4" s="17">
        <f t="shared" si="1"/>
        <v>550</v>
      </c>
    </row>
    <row r="5" ht="21.0" customHeight="1">
      <c r="A5" s="7">
        <v>5.28406193E8</v>
      </c>
      <c r="B5" s="10" t="s">
        <v>40</v>
      </c>
      <c r="C5" s="11">
        <v>3000.0</v>
      </c>
      <c r="D5" s="11">
        <v>2000.0</v>
      </c>
      <c r="E5" s="17">
        <f t="shared" si="1"/>
        <v>1000</v>
      </c>
    </row>
    <row r="6" ht="21.0" customHeight="1">
      <c r="A6" s="7">
        <v>8.46219537E8</v>
      </c>
      <c r="B6" s="10" t="s">
        <v>23</v>
      </c>
      <c r="C6" s="11">
        <v>6000.0</v>
      </c>
      <c r="D6" s="11">
        <v>0.0</v>
      </c>
      <c r="E6" s="17">
        <f t="shared" si="1"/>
        <v>6000</v>
      </c>
    </row>
    <row r="7" ht="21.0" customHeight="1">
      <c r="A7" s="7">
        <v>6.92481305E8</v>
      </c>
      <c r="B7" s="10" t="s">
        <v>32</v>
      </c>
      <c r="C7" s="11">
        <v>25000.0</v>
      </c>
      <c r="D7" s="11">
        <v>10000.0</v>
      </c>
      <c r="E7" s="17">
        <f t="shared" si="1"/>
        <v>15000</v>
      </c>
    </row>
    <row r="8" ht="21.0" customHeight="1">
      <c r="A8" s="24">
        <v>4.38750921E8</v>
      </c>
      <c r="B8" s="25" t="s">
        <v>50</v>
      </c>
      <c r="C8" s="11">
        <v>2500.0</v>
      </c>
      <c r="D8" s="11">
        <v>2500.0</v>
      </c>
      <c r="E8" s="17">
        <f t="shared" si="1"/>
        <v>0</v>
      </c>
    </row>
    <row r="9" ht="21.0" customHeight="1">
      <c r="A9" s="24">
        <v>3.19582046E8</v>
      </c>
      <c r="B9" s="25" t="s">
        <v>54</v>
      </c>
      <c r="C9" s="11">
        <v>15000.0</v>
      </c>
      <c r="D9" s="11">
        <v>6000.0</v>
      </c>
      <c r="E9" s="17">
        <f t="shared" si="1"/>
        <v>9000</v>
      </c>
    </row>
    <row r="10" ht="21.0" customHeight="1">
      <c r="A10" s="26">
        <v>5.02847193E8</v>
      </c>
      <c r="B10" s="28" t="s">
        <v>32</v>
      </c>
      <c r="C10" s="29">
        <v>0.0</v>
      </c>
      <c r="D10" s="29">
        <v>820.0</v>
      </c>
      <c r="E10" s="31">
        <f t="shared" si="1"/>
        <v>-820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9.5"/>
    <col customWidth="1" min="3" max="3" width="15.38"/>
    <col customWidth="1" min="4" max="4" width="20.63"/>
    <col customWidth="1" min="5" max="5" width="21.25"/>
    <col customWidth="1" min="6" max="6" width="15.63"/>
    <col customWidth="1" min="7" max="26" width="8.63"/>
  </cols>
  <sheetData>
    <row r="1" ht="24.0" customHeight="1">
      <c r="A1" s="1" t="s">
        <v>0</v>
      </c>
      <c r="B1" s="2" t="s">
        <v>4</v>
      </c>
      <c r="C1" s="2" t="s">
        <v>8</v>
      </c>
      <c r="D1" s="2" t="s">
        <v>12</v>
      </c>
      <c r="E1" s="2" t="s">
        <v>15</v>
      </c>
      <c r="F1" s="5" t="s">
        <v>18</v>
      </c>
    </row>
    <row r="2" ht="21.0" customHeight="1">
      <c r="A2" s="7">
        <v>7.84231905E8</v>
      </c>
      <c r="B2" s="10" t="s">
        <v>22</v>
      </c>
      <c r="C2" s="10" t="s">
        <v>26</v>
      </c>
      <c r="D2" s="13">
        <v>1500.0</v>
      </c>
      <c r="E2" s="13">
        <v>500.0</v>
      </c>
      <c r="F2" s="19">
        <f t="shared" ref="F2:F15" si="1">D2-E2</f>
        <v>1000</v>
      </c>
    </row>
    <row r="3" ht="21.0" customHeight="1">
      <c r="A3" s="7">
        <v>7.84231905E8</v>
      </c>
      <c r="B3" s="10" t="s">
        <v>33</v>
      </c>
      <c r="C3" s="10" t="s">
        <v>34</v>
      </c>
      <c r="D3" s="13">
        <v>0.2</v>
      </c>
      <c r="E3" s="13">
        <v>0.0</v>
      </c>
      <c r="F3" s="19">
        <f t="shared" si="1"/>
        <v>0.2</v>
      </c>
    </row>
    <row r="4" ht="21.0" customHeight="1">
      <c r="A4" s="7">
        <v>6.15902374E8</v>
      </c>
      <c r="B4" s="10" t="s">
        <v>36</v>
      </c>
      <c r="C4" s="10" t="s">
        <v>38</v>
      </c>
      <c r="D4" s="13">
        <v>0.05</v>
      </c>
      <c r="E4" s="13">
        <v>0.02</v>
      </c>
      <c r="F4" s="19">
        <f t="shared" si="1"/>
        <v>0.03</v>
      </c>
    </row>
    <row r="5" ht="21.0" customHeight="1">
      <c r="A5" s="7">
        <v>6.15902374E8</v>
      </c>
      <c r="B5" s="10" t="s">
        <v>22</v>
      </c>
      <c r="C5" s="10" t="s">
        <v>43</v>
      </c>
      <c r="D5" s="13">
        <v>600.0</v>
      </c>
      <c r="E5" s="13">
        <v>0.0</v>
      </c>
      <c r="F5" s="19">
        <f t="shared" si="1"/>
        <v>600</v>
      </c>
    </row>
    <row r="6" ht="21.0" customHeight="1">
      <c r="A6" s="7">
        <v>9.03174628E8</v>
      </c>
      <c r="B6" s="10" t="s">
        <v>22</v>
      </c>
      <c r="C6" s="10" t="s">
        <v>48</v>
      </c>
      <c r="D6" s="13">
        <v>400.0</v>
      </c>
      <c r="E6" s="13">
        <v>0.0</v>
      </c>
      <c r="F6" s="19">
        <f t="shared" si="1"/>
        <v>400</v>
      </c>
    </row>
    <row r="7" ht="21.0" customHeight="1">
      <c r="A7" s="7">
        <v>9.03174628E8</v>
      </c>
      <c r="B7" s="10" t="s">
        <v>22</v>
      </c>
      <c r="C7" s="10" t="s">
        <v>43</v>
      </c>
      <c r="D7" s="13">
        <v>0.0</v>
      </c>
      <c r="E7" s="13">
        <v>300.0</v>
      </c>
      <c r="F7" s="19">
        <f t="shared" si="1"/>
        <v>-300</v>
      </c>
    </row>
    <row r="8" ht="21.0" customHeight="1">
      <c r="A8" s="24">
        <v>5.28406193E8</v>
      </c>
      <c r="B8" s="25" t="s">
        <v>22</v>
      </c>
      <c r="C8" s="25" t="s">
        <v>34</v>
      </c>
      <c r="D8" s="27">
        <v>0.0</v>
      </c>
      <c r="E8" s="27">
        <v>1500.0</v>
      </c>
      <c r="F8" s="30">
        <f t="shared" si="1"/>
        <v>-1500</v>
      </c>
    </row>
    <row r="9" ht="21.0" customHeight="1">
      <c r="A9" s="24">
        <v>5.28406193E8</v>
      </c>
      <c r="B9" s="25" t="s">
        <v>22</v>
      </c>
      <c r="C9" s="25" t="s">
        <v>26</v>
      </c>
      <c r="D9" s="27">
        <v>700.0</v>
      </c>
      <c r="E9" s="27">
        <v>300.0</v>
      </c>
      <c r="F9" s="30">
        <f t="shared" si="1"/>
        <v>400</v>
      </c>
    </row>
    <row r="10" ht="21.0" customHeight="1">
      <c r="A10" s="24">
        <v>8.46219537E8</v>
      </c>
      <c r="B10" s="25" t="s">
        <v>33</v>
      </c>
      <c r="C10" s="25" t="s">
        <v>34</v>
      </c>
      <c r="D10" s="27">
        <v>0.4</v>
      </c>
      <c r="E10" s="27">
        <v>0.1</v>
      </c>
      <c r="F10" s="30">
        <f t="shared" si="1"/>
        <v>0.3</v>
      </c>
    </row>
    <row r="11" ht="21.0" customHeight="1">
      <c r="A11" s="24">
        <v>8.46219537E8</v>
      </c>
      <c r="B11" s="25" t="s">
        <v>22</v>
      </c>
      <c r="C11" s="25" t="s">
        <v>26</v>
      </c>
      <c r="D11" s="27">
        <v>1000.0</v>
      </c>
      <c r="E11" s="27">
        <v>0.0</v>
      </c>
      <c r="F11" s="30">
        <f t="shared" si="1"/>
        <v>1000</v>
      </c>
    </row>
    <row r="12" ht="21.0" customHeight="1">
      <c r="A12" s="24">
        <v>6.92481305E8</v>
      </c>
      <c r="B12" s="25" t="s">
        <v>22</v>
      </c>
      <c r="C12" s="25" t="s">
        <v>26</v>
      </c>
      <c r="D12" s="27">
        <v>2000.0</v>
      </c>
      <c r="E12" s="27">
        <v>600.0</v>
      </c>
      <c r="F12" s="30">
        <f t="shared" si="1"/>
        <v>1400</v>
      </c>
    </row>
    <row r="13" ht="21.0" customHeight="1">
      <c r="A13" s="24">
        <v>6.92481305E8</v>
      </c>
      <c r="B13" s="25" t="s">
        <v>36</v>
      </c>
      <c r="C13" s="25" t="s">
        <v>38</v>
      </c>
      <c r="D13" s="27">
        <v>0.03</v>
      </c>
      <c r="E13" s="27">
        <v>0.0</v>
      </c>
      <c r="F13" s="30">
        <f t="shared" si="1"/>
        <v>0.03</v>
      </c>
    </row>
    <row r="14" ht="21.0" customHeight="1">
      <c r="A14" s="24">
        <v>4.38750921E8</v>
      </c>
      <c r="B14" s="25" t="s">
        <v>22</v>
      </c>
      <c r="C14" s="25" t="s">
        <v>26</v>
      </c>
      <c r="D14" s="27">
        <v>1800.0</v>
      </c>
      <c r="E14" s="27">
        <v>1800.0</v>
      </c>
      <c r="F14" s="30">
        <f t="shared" si="1"/>
        <v>0</v>
      </c>
    </row>
    <row r="15" ht="21.0" customHeight="1">
      <c r="A15" s="26">
        <v>3.19582046E8</v>
      </c>
      <c r="B15" s="28" t="s">
        <v>36</v>
      </c>
      <c r="C15" s="28" t="s">
        <v>38</v>
      </c>
      <c r="D15" s="37">
        <v>0.001</v>
      </c>
      <c r="E15" s="37">
        <v>0.0</v>
      </c>
      <c r="F15" s="38">
        <f t="shared" si="1"/>
        <v>0.001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25"/>
    <col customWidth="1" min="2" max="2" width="14.5"/>
    <col customWidth="1" min="3" max="3" width="14.38"/>
    <col customWidth="1" min="4" max="4" width="11.88"/>
    <col customWidth="1" min="5" max="5" width="13.88"/>
    <col customWidth="1" min="6" max="6" width="9.0"/>
    <col customWidth="1" min="7" max="7" width="15.13"/>
    <col customWidth="1" min="8" max="8" width="13.75"/>
    <col customWidth="1" min="9" max="9" width="17.0"/>
    <col customWidth="1" min="10" max="10" width="19.5"/>
    <col customWidth="1" min="11" max="22" width="8.63"/>
  </cols>
  <sheetData>
    <row r="1" ht="24.0" customHeight="1">
      <c r="A1" s="1" t="s">
        <v>1</v>
      </c>
      <c r="B1" s="2" t="s">
        <v>0</v>
      </c>
      <c r="C1" s="2" t="s">
        <v>3</v>
      </c>
      <c r="D1" s="2" t="s">
        <v>6</v>
      </c>
      <c r="E1" s="2" t="s">
        <v>9</v>
      </c>
      <c r="F1" s="2" t="s">
        <v>11</v>
      </c>
      <c r="G1" s="2" t="s">
        <v>13</v>
      </c>
      <c r="H1" s="2" t="s">
        <v>16</v>
      </c>
      <c r="I1" s="2" t="s">
        <v>17</v>
      </c>
      <c r="J1" s="5" t="s">
        <v>19</v>
      </c>
    </row>
    <row r="2" ht="21.0" customHeight="1">
      <c r="A2" s="6" t="s">
        <v>20</v>
      </c>
      <c r="B2" s="8">
        <v>7.84231905E8</v>
      </c>
      <c r="C2" s="8" t="s">
        <v>24</v>
      </c>
      <c r="D2" s="8" t="s">
        <v>23</v>
      </c>
      <c r="E2" s="12">
        <v>1500.0</v>
      </c>
      <c r="F2" s="12">
        <v>0.0</v>
      </c>
      <c r="G2" s="15" t="s">
        <v>28</v>
      </c>
      <c r="H2" s="15" t="s">
        <v>29</v>
      </c>
      <c r="I2" s="21">
        <v>45667.427083333336</v>
      </c>
      <c r="J2" s="23">
        <v>45667.42916666667</v>
      </c>
    </row>
    <row r="3" ht="21.0" customHeight="1">
      <c r="A3" s="6" t="s">
        <v>35</v>
      </c>
      <c r="B3" s="8">
        <v>7.84231905E8</v>
      </c>
      <c r="C3" s="8" t="s">
        <v>41</v>
      </c>
      <c r="D3" s="8" t="s">
        <v>23</v>
      </c>
      <c r="E3" s="12">
        <v>500.0</v>
      </c>
      <c r="F3" s="12">
        <v>1.5</v>
      </c>
      <c r="G3" s="15" t="s">
        <v>28</v>
      </c>
      <c r="H3" s="15" t="s">
        <v>29</v>
      </c>
      <c r="I3" s="21">
        <v>45708.604166666664</v>
      </c>
      <c r="J3" s="23">
        <v>45708.60763888889</v>
      </c>
    </row>
    <row r="4" ht="21.0" customHeight="1">
      <c r="A4" s="6" t="s">
        <v>45</v>
      </c>
      <c r="B4" s="8">
        <v>7.84231905E8</v>
      </c>
      <c r="C4" s="8" t="s">
        <v>24</v>
      </c>
      <c r="D4" s="8" t="s">
        <v>23</v>
      </c>
      <c r="E4" s="12">
        <v>2000.0</v>
      </c>
      <c r="F4" s="12">
        <v>0.0</v>
      </c>
      <c r="G4" s="15" t="s">
        <v>47</v>
      </c>
      <c r="H4" s="15" t="s">
        <v>29</v>
      </c>
      <c r="I4" s="21">
        <v>45731.375</v>
      </c>
      <c r="J4" s="23">
        <v>45731.680555555555</v>
      </c>
    </row>
    <row r="5" ht="21.0" customHeight="1">
      <c r="A5" s="6" t="s">
        <v>51</v>
      </c>
      <c r="B5" s="8">
        <v>7.84231905E8</v>
      </c>
      <c r="C5" s="8" t="s">
        <v>41</v>
      </c>
      <c r="D5" s="8" t="s">
        <v>23</v>
      </c>
      <c r="E5" s="12">
        <v>300.0</v>
      </c>
      <c r="F5" s="12">
        <v>1.5</v>
      </c>
      <c r="G5" s="15" t="s">
        <v>28</v>
      </c>
      <c r="H5" s="15" t="s">
        <v>55</v>
      </c>
      <c r="I5" s="21">
        <v>45757.458333333336</v>
      </c>
      <c r="J5" s="23">
        <v>45757.461805555555</v>
      </c>
    </row>
    <row r="6" ht="21.0" customHeight="1">
      <c r="A6" s="6" t="s">
        <v>56</v>
      </c>
      <c r="B6" s="8">
        <v>6.15902374E8</v>
      </c>
      <c r="C6" s="8" t="s">
        <v>24</v>
      </c>
      <c r="D6" s="8" t="s">
        <v>32</v>
      </c>
      <c r="E6" s="12">
        <v>50000.0</v>
      </c>
      <c r="F6" s="12">
        <v>15.0</v>
      </c>
      <c r="G6" s="15" t="s">
        <v>59</v>
      </c>
      <c r="H6" s="15" t="s">
        <v>29</v>
      </c>
      <c r="I6" s="21">
        <v>45669.354166666664</v>
      </c>
      <c r="J6" s="23">
        <v>45669.65625</v>
      </c>
    </row>
    <row r="7" ht="21.0" customHeight="1">
      <c r="A7" s="6" t="s">
        <v>60</v>
      </c>
      <c r="B7" s="8">
        <v>6.15902374E8</v>
      </c>
      <c r="C7" s="8" t="s">
        <v>41</v>
      </c>
      <c r="D7" s="8" t="s">
        <v>32</v>
      </c>
      <c r="E7" s="12">
        <v>12000.0</v>
      </c>
      <c r="F7" s="12">
        <v>25.0</v>
      </c>
      <c r="G7" s="15" t="s">
        <v>59</v>
      </c>
      <c r="H7" s="15" t="s">
        <v>29</v>
      </c>
      <c r="I7" s="21">
        <v>45702.989583333336</v>
      </c>
      <c r="J7" s="23">
        <v>45703.052083333336</v>
      </c>
    </row>
    <row r="8" ht="21.0" customHeight="1">
      <c r="A8" s="6" t="s">
        <v>65</v>
      </c>
      <c r="B8" s="8">
        <v>6.15902374E8</v>
      </c>
      <c r="C8" s="8" t="s">
        <v>41</v>
      </c>
      <c r="D8" s="8" t="s">
        <v>32</v>
      </c>
      <c r="E8" s="12">
        <v>5000.0</v>
      </c>
      <c r="F8" s="12">
        <v>25.0</v>
      </c>
      <c r="G8" s="15" t="s">
        <v>59</v>
      </c>
      <c r="H8" s="15" t="s">
        <v>29</v>
      </c>
      <c r="I8" s="21">
        <v>45826.430555555555</v>
      </c>
      <c r="J8" s="23">
        <v>45826.59027777778</v>
      </c>
    </row>
    <row r="9" ht="21.0" customHeight="1">
      <c r="A9" s="6" t="s">
        <v>68</v>
      </c>
      <c r="B9" s="8">
        <v>6.15902374E8</v>
      </c>
      <c r="C9" s="8" t="s">
        <v>24</v>
      </c>
      <c r="D9" s="8" t="s">
        <v>32</v>
      </c>
      <c r="E9" s="12">
        <v>10000.0</v>
      </c>
      <c r="F9" s="12">
        <v>15.0</v>
      </c>
      <c r="G9" s="15" t="s">
        <v>59</v>
      </c>
      <c r="H9" s="15" t="s">
        <v>70</v>
      </c>
      <c r="I9" s="21">
        <v>45858.666666666664</v>
      </c>
      <c r="J9" s="36"/>
    </row>
    <row r="10" ht="21.0" customHeight="1">
      <c r="A10" s="6" t="s">
        <v>71</v>
      </c>
      <c r="B10" s="8">
        <v>9.03174628E8</v>
      </c>
      <c r="C10" s="8" t="s">
        <v>24</v>
      </c>
      <c r="D10" s="8" t="s">
        <v>32</v>
      </c>
      <c r="E10" s="12">
        <v>1000.0</v>
      </c>
      <c r="F10" s="12">
        <v>0.0</v>
      </c>
      <c r="G10" s="15" t="s">
        <v>72</v>
      </c>
      <c r="H10" s="15" t="s">
        <v>29</v>
      </c>
      <c r="I10" s="21">
        <v>45724.381944444445</v>
      </c>
      <c r="J10" s="23">
        <v>45725.479166666664</v>
      </c>
    </row>
    <row r="11" ht="21.0" customHeight="1">
      <c r="A11" s="6" t="s">
        <v>73</v>
      </c>
      <c r="B11" s="8">
        <v>9.03174628E8</v>
      </c>
      <c r="C11" s="8" t="s">
        <v>41</v>
      </c>
      <c r="D11" s="8" t="s">
        <v>32</v>
      </c>
      <c r="E11" s="12">
        <v>450.0</v>
      </c>
      <c r="F11" s="12">
        <v>2.0</v>
      </c>
      <c r="G11" s="15" t="s">
        <v>72</v>
      </c>
      <c r="H11" s="15" t="s">
        <v>29</v>
      </c>
      <c r="I11" s="21">
        <v>45762.583333333336</v>
      </c>
      <c r="J11" s="23">
        <v>45763.416666666664</v>
      </c>
    </row>
    <row r="12" ht="21.0" customHeight="1">
      <c r="A12" s="6" t="s">
        <v>74</v>
      </c>
      <c r="B12" s="8">
        <v>9.03174628E8</v>
      </c>
      <c r="C12" s="8" t="s">
        <v>41</v>
      </c>
      <c r="D12" s="8" t="s">
        <v>32</v>
      </c>
      <c r="E12" s="12">
        <v>200.0</v>
      </c>
      <c r="F12" s="12">
        <v>2.0</v>
      </c>
      <c r="G12" s="15" t="s">
        <v>72</v>
      </c>
      <c r="H12" s="15" t="s">
        <v>75</v>
      </c>
      <c r="I12" s="21">
        <v>45779.520833333336</v>
      </c>
      <c r="J12" s="36"/>
    </row>
    <row r="13" ht="21.0" customHeight="1">
      <c r="A13" s="6" t="s">
        <v>76</v>
      </c>
      <c r="B13" s="8">
        <v>5.28406193E8</v>
      </c>
      <c r="C13" s="8" t="s">
        <v>24</v>
      </c>
      <c r="D13" s="8" t="s">
        <v>40</v>
      </c>
      <c r="E13" s="12">
        <v>3000.0</v>
      </c>
      <c r="F13" s="12">
        <v>0.0</v>
      </c>
      <c r="G13" s="15" t="s">
        <v>77</v>
      </c>
      <c r="H13" s="15" t="s">
        <v>29</v>
      </c>
      <c r="I13" s="21">
        <v>45765.416666666664</v>
      </c>
      <c r="J13" s="23">
        <v>45765.419444444444</v>
      </c>
    </row>
    <row r="14" ht="21.0" customHeight="1">
      <c r="A14" s="6" t="s">
        <v>78</v>
      </c>
      <c r="B14" s="8">
        <v>5.28406193E8</v>
      </c>
      <c r="C14" s="8" t="s">
        <v>41</v>
      </c>
      <c r="D14" s="8" t="s">
        <v>40</v>
      </c>
      <c r="E14" s="12">
        <v>800.0</v>
      </c>
      <c r="F14" s="12">
        <v>1.0</v>
      </c>
      <c r="G14" s="15" t="s">
        <v>77</v>
      </c>
      <c r="H14" s="15" t="s">
        <v>29</v>
      </c>
      <c r="I14" s="21">
        <v>45802.645833333336</v>
      </c>
      <c r="J14" s="23">
        <v>45802.64791666667</v>
      </c>
    </row>
    <row r="15" ht="21.0" customHeight="1">
      <c r="A15" s="6" t="s">
        <v>79</v>
      </c>
      <c r="B15" s="8">
        <v>5.28406193E8</v>
      </c>
      <c r="C15" s="8" t="s">
        <v>41</v>
      </c>
      <c r="D15" s="8" t="s">
        <v>40</v>
      </c>
      <c r="E15" s="12">
        <v>1200.0</v>
      </c>
      <c r="F15" s="12">
        <v>1.0</v>
      </c>
      <c r="G15" s="15" t="s">
        <v>77</v>
      </c>
      <c r="H15" s="15" t="s">
        <v>29</v>
      </c>
      <c r="I15" s="21">
        <v>45879.76388888889</v>
      </c>
      <c r="J15" s="23">
        <v>45879.76666666667</v>
      </c>
    </row>
    <row r="16" ht="21.0" customHeight="1">
      <c r="A16" s="6" t="s">
        <v>80</v>
      </c>
      <c r="B16" s="8">
        <v>5.28406193E8</v>
      </c>
      <c r="C16" s="8" t="s">
        <v>24</v>
      </c>
      <c r="D16" s="8" t="s">
        <v>40</v>
      </c>
      <c r="E16" s="12">
        <v>500.0</v>
      </c>
      <c r="F16" s="12">
        <v>0.0</v>
      </c>
      <c r="G16" s="15" t="s">
        <v>77</v>
      </c>
      <c r="H16" s="15" t="s">
        <v>81</v>
      </c>
      <c r="I16" s="21">
        <v>45912.385416666664</v>
      </c>
      <c r="J16" s="36"/>
    </row>
    <row r="17" ht="21.0" customHeight="1">
      <c r="A17" s="6" t="s">
        <v>82</v>
      </c>
      <c r="B17" s="8">
        <v>8.46219537E8</v>
      </c>
      <c r="C17" s="8" t="s">
        <v>24</v>
      </c>
      <c r="D17" s="8" t="s">
        <v>23</v>
      </c>
      <c r="E17" s="12">
        <v>4200.0</v>
      </c>
      <c r="F17" s="12">
        <v>0.0</v>
      </c>
      <c r="G17" s="15" t="s">
        <v>28</v>
      </c>
      <c r="H17" s="15" t="s">
        <v>29</v>
      </c>
      <c r="I17" s="21">
        <v>45797.46527777778</v>
      </c>
      <c r="J17" s="23">
        <v>45797.46666666667</v>
      </c>
    </row>
    <row r="18" ht="21.0" customHeight="1">
      <c r="A18" s="6" t="s">
        <v>84</v>
      </c>
      <c r="B18" s="8">
        <v>8.46219537E8</v>
      </c>
      <c r="C18" s="8" t="s">
        <v>24</v>
      </c>
      <c r="D18" s="8" t="s">
        <v>23</v>
      </c>
      <c r="E18" s="12">
        <v>1800.0</v>
      </c>
      <c r="F18" s="12">
        <v>0.0</v>
      </c>
      <c r="G18" s="15" t="s">
        <v>47</v>
      </c>
      <c r="H18" s="15" t="s">
        <v>29</v>
      </c>
      <c r="I18" s="21">
        <v>45849.569444444445</v>
      </c>
      <c r="J18" s="23">
        <v>45849.743055555555</v>
      </c>
    </row>
    <row r="19" ht="21.0" customHeight="1">
      <c r="A19" s="6" t="s">
        <v>88</v>
      </c>
      <c r="B19" s="8">
        <v>6.92481305E8</v>
      </c>
      <c r="C19" s="8" t="s">
        <v>24</v>
      </c>
      <c r="D19" s="8" t="s">
        <v>32</v>
      </c>
      <c r="E19" s="12">
        <v>25000.0</v>
      </c>
      <c r="F19" s="12">
        <v>15.0</v>
      </c>
      <c r="G19" s="15" t="s">
        <v>59</v>
      </c>
      <c r="H19" s="15" t="s">
        <v>29</v>
      </c>
      <c r="I19" s="21">
        <v>45813.395833333336</v>
      </c>
      <c r="J19" s="23">
        <v>45813.67361111111</v>
      </c>
    </row>
    <row r="20" ht="21.0" customHeight="1">
      <c r="A20" s="6" t="s">
        <v>91</v>
      </c>
      <c r="B20" s="8">
        <v>6.92481305E8</v>
      </c>
      <c r="C20" s="8" t="s">
        <v>41</v>
      </c>
      <c r="D20" s="8" t="s">
        <v>32</v>
      </c>
      <c r="E20" s="12">
        <v>10000.0</v>
      </c>
      <c r="F20" s="12">
        <v>25.0</v>
      </c>
      <c r="G20" s="15" t="s">
        <v>59</v>
      </c>
      <c r="H20" s="15" t="s">
        <v>29</v>
      </c>
      <c r="I20" s="21">
        <v>45915.583333333336</v>
      </c>
      <c r="J20" s="23">
        <v>45915.729166666664</v>
      </c>
    </row>
    <row r="21" ht="21.0" customHeight="1">
      <c r="A21" s="6" t="s">
        <v>109</v>
      </c>
      <c r="B21" s="8">
        <v>4.38750921E8</v>
      </c>
      <c r="C21" s="8" t="s">
        <v>24</v>
      </c>
      <c r="D21" s="8" t="s">
        <v>50</v>
      </c>
      <c r="E21" s="12">
        <v>2500.0</v>
      </c>
      <c r="F21" s="12">
        <v>0.0</v>
      </c>
      <c r="G21" s="15" t="s">
        <v>125</v>
      </c>
      <c r="H21" s="15" t="s">
        <v>29</v>
      </c>
      <c r="I21" s="21">
        <v>45657.993055555555</v>
      </c>
      <c r="J21" s="23">
        <v>45657.99444444444</v>
      </c>
    </row>
    <row r="22" ht="21.0" customHeight="1">
      <c r="A22" s="6" t="s">
        <v>147</v>
      </c>
      <c r="B22" s="8">
        <v>4.38750921E8</v>
      </c>
      <c r="C22" s="8" t="s">
        <v>41</v>
      </c>
      <c r="D22" s="8" t="s">
        <v>50</v>
      </c>
      <c r="E22" s="12">
        <v>2500.0</v>
      </c>
      <c r="F22" s="12">
        <v>3.5</v>
      </c>
      <c r="G22" s="15" t="s">
        <v>125</v>
      </c>
      <c r="H22" s="15" t="s">
        <v>29</v>
      </c>
      <c r="I22" s="21">
        <v>45658.01388888889</v>
      </c>
      <c r="J22" s="23">
        <v>45658.01527777778</v>
      </c>
    </row>
    <row r="23" ht="21.0" customHeight="1">
      <c r="A23" s="6" t="s">
        <v>190</v>
      </c>
      <c r="B23" s="8">
        <v>3.19582046E8</v>
      </c>
      <c r="C23" s="8" t="s">
        <v>24</v>
      </c>
      <c r="D23" s="8" t="s">
        <v>54</v>
      </c>
      <c r="E23" s="12">
        <v>15000.0</v>
      </c>
      <c r="F23" s="12">
        <v>0.0</v>
      </c>
      <c r="G23" s="15" t="s">
        <v>214</v>
      </c>
      <c r="H23" s="15" t="s">
        <v>29</v>
      </c>
      <c r="I23" s="21">
        <v>45901.416666666664</v>
      </c>
      <c r="J23" s="23">
        <v>45901.42013888889</v>
      </c>
    </row>
    <row r="24" ht="21.0" customHeight="1">
      <c r="A24" s="6" t="s">
        <v>231</v>
      </c>
      <c r="B24" s="8">
        <v>3.19582046E8</v>
      </c>
      <c r="C24" s="8" t="s">
        <v>41</v>
      </c>
      <c r="D24" s="8" t="s">
        <v>54</v>
      </c>
      <c r="E24" s="12">
        <v>6000.0</v>
      </c>
      <c r="F24" s="12">
        <v>15.0</v>
      </c>
      <c r="G24" s="15" t="s">
        <v>214</v>
      </c>
      <c r="H24" s="15" t="s">
        <v>29</v>
      </c>
      <c r="I24" s="21">
        <v>45940.59722222222</v>
      </c>
      <c r="J24" s="23">
        <v>45940.600694444445</v>
      </c>
    </row>
    <row r="25" ht="21.0" customHeight="1">
      <c r="A25" s="6" t="s">
        <v>270</v>
      </c>
      <c r="B25" s="8">
        <v>5.02847193E8</v>
      </c>
      <c r="C25" s="8" t="s">
        <v>41</v>
      </c>
      <c r="D25" s="8" t="s">
        <v>32</v>
      </c>
      <c r="E25" s="12">
        <v>800.0</v>
      </c>
      <c r="F25" s="12">
        <v>2.0</v>
      </c>
      <c r="G25" s="15" t="s">
        <v>72</v>
      </c>
      <c r="H25" s="15" t="s">
        <v>29</v>
      </c>
      <c r="I25" s="21">
        <v>45920.697916666664</v>
      </c>
      <c r="J25" s="23">
        <v>45921.395833333336</v>
      </c>
    </row>
    <row r="26" ht="21.0" customHeight="1">
      <c r="A26" s="67" t="s">
        <v>275</v>
      </c>
      <c r="B26" s="68">
        <v>5.02847193E8</v>
      </c>
      <c r="C26" s="68" t="s">
        <v>41</v>
      </c>
      <c r="D26" s="68" t="s">
        <v>32</v>
      </c>
      <c r="E26" s="69">
        <v>20.0</v>
      </c>
      <c r="F26" s="69">
        <v>1.0</v>
      </c>
      <c r="G26" s="68" t="s">
        <v>72</v>
      </c>
      <c r="H26" s="68" t="s">
        <v>29</v>
      </c>
      <c r="I26" s="70">
        <v>45955.458333333336</v>
      </c>
      <c r="J26" s="71">
        <v>45955.645833333336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26">
      <formula1>"deposit,withdrawal"</formula1>
    </dataValidation>
    <dataValidation type="list" allowBlank="1" sqref="H2:H26">
      <formula1>"completed,pending,processing,failed,cancelled"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25"/>
    <col customWidth="1" min="2" max="2" width="10.38"/>
    <col customWidth="1" min="3" max="3" width="14.13"/>
    <col customWidth="1" min="4" max="4" width="10.38"/>
    <col customWidth="1" min="5" max="5" width="14.38"/>
    <col customWidth="1" min="6" max="6" width="13.88"/>
    <col customWidth="1" min="7" max="7" width="10.88"/>
    <col customWidth="1" min="8" max="8" width="33.88"/>
    <col customWidth="1" min="9" max="9" width="40.63"/>
    <col customWidth="1" min="10" max="10" width="14.0"/>
    <col customWidth="1" min="11" max="11" width="15.88"/>
    <col customWidth="1" min="12" max="13" width="17.0"/>
    <col customWidth="1" min="14" max="21" width="8.63"/>
  </cols>
  <sheetData>
    <row r="1" ht="24.0" customHeight="1">
      <c r="A1" s="1" t="s">
        <v>83</v>
      </c>
      <c r="B1" s="2" t="s">
        <v>0</v>
      </c>
      <c r="C1" s="2" t="s">
        <v>3</v>
      </c>
      <c r="D1" s="2" t="s">
        <v>4</v>
      </c>
      <c r="E1" s="2" t="s">
        <v>8</v>
      </c>
      <c r="F1" s="2" t="s">
        <v>9</v>
      </c>
      <c r="G1" s="2" t="s">
        <v>11</v>
      </c>
      <c r="H1" s="2" t="s">
        <v>85</v>
      </c>
      <c r="I1" s="2" t="s">
        <v>86</v>
      </c>
      <c r="J1" s="2" t="s">
        <v>16</v>
      </c>
      <c r="K1" s="2" t="s">
        <v>87</v>
      </c>
      <c r="L1" s="2" t="s">
        <v>17</v>
      </c>
      <c r="M1" s="5" t="s">
        <v>19</v>
      </c>
    </row>
    <row r="2" ht="21.0" customHeight="1">
      <c r="A2" s="6" t="s">
        <v>89</v>
      </c>
      <c r="B2" s="8">
        <v>7.84231905E8</v>
      </c>
      <c r="C2" s="8" t="s">
        <v>24</v>
      </c>
      <c r="D2" s="8" t="s">
        <v>22</v>
      </c>
      <c r="E2" s="8" t="s">
        <v>26</v>
      </c>
      <c r="F2" s="39">
        <v>1500.0</v>
      </c>
      <c r="G2" s="39">
        <v>0.0</v>
      </c>
      <c r="H2" s="41" t="s">
        <v>92</v>
      </c>
      <c r="I2" s="41" t="s">
        <v>94</v>
      </c>
      <c r="J2" s="8" t="s">
        <v>29</v>
      </c>
      <c r="K2" s="44">
        <v>26.0</v>
      </c>
      <c r="L2" s="21">
        <v>45667.47222222222</v>
      </c>
      <c r="M2" s="23">
        <v>45667.50486111111</v>
      </c>
    </row>
    <row r="3" ht="21.0" customHeight="1">
      <c r="A3" s="6" t="s">
        <v>106</v>
      </c>
      <c r="B3" s="8">
        <v>7.84231905E8</v>
      </c>
      <c r="C3" s="8" t="s">
        <v>41</v>
      </c>
      <c r="D3" s="8" t="s">
        <v>22</v>
      </c>
      <c r="E3" s="8" t="s">
        <v>26</v>
      </c>
      <c r="F3" s="39">
        <v>500.0</v>
      </c>
      <c r="G3" s="39">
        <v>1.0</v>
      </c>
      <c r="H3" s="41" t="s">
        <v>128</v>
      </c>
      <c r="I3" s="41" t="s">
        <v>135</v>
      </c>
      <c r="J3" s="8" t="s">
        <v>29</v>
      </c>
      <c r="K3" s="44">
        <v>20.0</v>
      </c>
      <c r="L3" s="21">
        <v>45710.756944444445</v>
      </c>
      <c r="M3" s="23">
        <v>45710.79791666667</v>
      </c>
    </row>
    <row r="4" ht="21.0" customHeight="1">
      <c r="A4" s="6" t="s">
        <v>158</v>
      </c>
      <c r="B4" s="8">
        <v>7.84231905E8</v>
      </c>
      <c r="C4" s="8" t="s">
        <v>24</v>
      </c>
      <c r="D4" s="8" t="s">
        <v>33</v>
      </c>
      <c r="E4" s="8" t="s">
        <v>34</v>
      </c>
      <c r="F4" s="39">
        <v>0.2</v>
      </c>
      <c r="G4" s="39">
        <v>0.0</v>
      </c>
      <c r="H4" s="41" t="s">
        <v>188</v>
      </c>
      <c r="I4" s="41" t="s">
        <v>194</v>
      </c>
      <c r="J4" s="8" t="s">
        <v>29</v>
      </c>
      <c r="K4" s="44">
        <v>25.0</v>
      </c>
      <c r="L4" s="21">
        <v>45813.322916666664</v>
      </c>
      <c r="M4" s="23">
        <v>45813.37222222222</v>
      </c>
    </row>
    <row r="5" ht="21.0" customHeight="1">
      <c r="A5" s="6" t="s">
        <v>215</v>
      </c>
      <c r="B5" s="8">
        <v>6.15902374E8</v>
      </c>
      <c r="C5" s="8" t="s">
        <v>24</v>
      </c>
      <c r="D5" s="8" t="s">
        <v>36</v>
      </c>
      <c r="E5" s="8" t="s">
        <v>38</v>
      </c>
      <c r="F5" s="39">
        <v>0.05</v>
      </c>
      <c r="G5" s="39">
        <v>0.0</v>
      </c>
      <c r="H5" s="41" t="s">
        <v>250</v>
      </c>
      <c r="I5" s="41" t="s">
        <v>256</v>
      </c>
      <c r="J5" s="8" t="s">
        <v>29</v>
      </c>
      <c r="K5" s="44">
        <v>15.0</v>
      </c>
      <c r="L5" s="21">
        <v>45736.50347222222</v>
      </c>
      <c r="M5" s="23">
        <v>45736.51458333333</v>
      </c>
    </row>
    <row r="6" ht="21.0" customHeight="1">
      <c r="A6" s="6" t="s">
        <v>269</v>
      </c>
      <c r="B6" s="8">
        <v>6.15902374E8</v>
      </c>
      <c r="C6" s="8" t="s">
        <v>41</v>
      </c>
      <c r="D6" s="8" t="s">
        <v>36</v>
      </c>
      <c r="E6" s="8" t="s">
        <v>38</v>
      </c>
      <c r="F6" s="39">
        <v>0.02</v>
      </c>
      <c r="G6" s="39">
        <v>2.0E-4</v>
      </c>
      <c r="H6" s="41" t="s">
        <v>273</v>
      </c>
      <c r="I6" s="41" t="s">
        <v>274</v>
      </c>
      <c r="J6" s="8" t="s">
        <v>29</v>
      </c>
      <c r="K6" s="44">
        <v>14.0</v>
      </c>
      <c r="L6" s="21">
        <v>45870.6875</v>
      </c>
      <c r="M6" s="23">
        <v>45870.69375</v>
      </c>
    </row>
    <row r="7" ht="21.0" customHeight="1">
      <c r="A7" s="6" t="s">
        <v>276</v>
      </c>
      <c r="B7" s="8">
        <v>6.15902374E8</v>
      </c>
      <c r="C7" s="8" t="s">
        <v>24</v>
      </c>
      <c r="D7" s="8" t="s">
        <v>22</v>
      </c>
      <c r="E7" s="8" t="s">
        <v>43</v>
      </c>
      <c r="F7" s="39">
        <v>600.0</v>
      </c>
      <c r="G7" s="39">
        <v>0.0</v>
      </c>
      <c r="H7" s="41" t="s">
        <v>277</v>
      </c>
      <c r="I7" s="41" t="s">
        <v>278</v>
      </c>
      <c r="J7" s="8" t="s">
        <v>29</v>
      </c>
      <c r="K7" s="44">
        <v>25.0</v>
      </c>
      <c r="L7" s="21">
        <v>45884.37847222222</v>
      </c>
      <c r="M7" s="23">
        <v>45884.40416666667</v>
      </c>
    </row>
    <row r="8" ht="21.0" customHeight="1">
      <c r="A8" s="6" t="s">
        <v>279</v>
      </c>
      <c r="B8" s="8">
        <v>9.03174628E8</v>
      </c>
      <c r="C8" s="8" t="s">
        <v>24</v>
      </c>
      <c r="D8" s="8" t="s">
        <v>22</v>
      </c>
      <c r="E8" s="8" t="s">
        <v>48</v>
      </c>
      <c r="F8" s="39">
        <v>400.0</v>
      </c>
      <c r="G8" s="39">
        <v>0.0</v>
      </c>
      <c r="H8" s="41" t="s">
        <v>280</v>
      </c>
      <c r="I8" s="41" t="s">
        <v>281</v>
      </c>
      <c r="J8" s="8" t="s">
        <v>29</v>
      </c>
      <c r="K8" s="44">
        <v>26.0</v>
      </c>
      <c r="L8" s="21">
        <v>45700.569444444445</v>
      </c>
      <c r="M8" s="23">
        <v>45700.575694444444</v>
      </c>
    </row>
    <row r="9" ht="21.0" customHeight="1">
      <c r="A9" s="6" t="s">
        <v>282</v>
      </c>
      <c r="B9" s="8">
        <v>9.03174628E8</v>
      </c>
      <c r="C9" s="8" t="s">
        <v>41</v>
      </c>
      <c r="D9" s="8" t="s">
        <v>22</v>
      </c>
      <c r="E9" s="8" t="s">
        <v>43</v>
      </c>
      <c r="F9" s="39">
        <v>300.0</v>
      </c>
      <c r="G9" s="39">
        <v>0.8</v>
      </c>
      <c r="H9" s="41" t="s">
        <v>283</v>
      </c>
      <c r="I9" s="41" t="s">
        <v>284</v>
      </c>
      <c r="J9" s="8" t="s">
        <v>29</v>
      </c>
      <c r="K9" s="44">
        <v>17.0</v>
      </c>
      <c r="L9" s="21">
        <v>45902.430555555555</v>
      </c>
      <c r="M9" s="23">
        <v>45902.47430555556</v>
      </c>
    </row>
    <row r="10" ht="21.0" customHeight="1">
      <c r="A10" s="6" t="s">
        <v>285</v>
      </c>
      <c r="B10" s="8">
        <v>9.03174628E8</v>
      </c>
      <c r="C10" s="8" t="s">
        <v>41</v>
      </c>
      <c r="D10" s="8" t="s">
        <v>22</v>
      </c>
      <c r="E10" s="8" t="s">
        <v>48</v>
      </c>
      <c r="F10" s="39">
        <v>250.0</v>
      </c>
      <c r="G10" s="39">
        <v>0.3</v>
      </c>
      <c r="H10" s="72"/>
      <c r="I10" s="41" t="s">
        <v>286</v>
      </c>
      <c r="J10" s="8" t="s">
        <v>81</v>
      </c>
      <c r="K10" s="44">
        <v>0.0</v>
      </c>
      <c r="L10" s="21">
        <v>46011.84027777778</v>
      </c>
      <c r="M10" s="36"/>
    </row>
    <row r="11" ht="21.0" customHeight="1">
      <c r="A11" s="6" t="s">
        <v>287</v>
      </c>
      <c r="B11" s="8">
        <v>5.28406193E8</v>
      </c>
      <c r="C11" s="8" t="s">
        <v>41</v>
      </c>
      <c r="D11" s="8" t="s">
        <v>22</v>
      </c>
      <c r="E11" s="8" t="s">
        <v>34</v>
      </c>
      <c r="F11" s="39">
        <v>1500.0</v>
      </c>
      <c r="G11" s="39">
        <v>5.0</v>
      </c>
      <c r="H11" s="41" t="s">
        <v>288</v>
      </c>
      <c r="I11" s="41" t="s">
        <v>289</v>
      </c>
      <c r="J11" s="8" t="s">
        <v>29</v>
      </c>
      <c r="K11" s="44">
        <v>23.0</v>
      </c>
      <c r="L11" s="21">
        <v>45754.885416666664</v>
      </c>
      <c r="M11" s="23">
        <v>45754.89027777778</v>
      </c>
    </row>
    <row r="12" ht="21.0" customHeight="1">
      <c r="A12" s="6" t="s">
        <v>290</v>
      </c>
      <c r="B12" s="8">
        <v>5.28406193E8</v>
      </c>
      <c r="C12" s="8" t="s">
        <v>24</v>
      </c>
      <c r="D12" s="8" t="s">
        <v>22</v>
      </c>
      <c r="E12" s="8" t="s">
        <v>26</v>
      </c>
      <c r="F12" s="39">
        <v>700.0</v>
      </c>
      <c r="G12" s="39">
        <v>0.0</v>
      </c>
      <c r="H12" s="41" t="s">
        <v>291</v>
      </c>
      <c r="I12" s="41" t="s">
        <v>292</v>
      </c>
      <c r="J12" s="8" t="s">
        <v>29</v>
      </c>
      <c r="K12" s="44">
        <v>23.0</v>
      </c>
      <c r="L12" s="21">
        <v>45767.364583333336</v>
      </c>
      <c r="M12" s="23">
        <v>45767.41875</v>
      </c>
    </row>
    <row r="13" ht="21.0" customHeight="1">
      <c r="A13" s="6" t="s">
        <v>293</v>
      </c>
      <c r="B13" s="8">
        <v>5.28406193E8</v>
      </c>
      <c r="C13" s="8" t="s">
        <v>41</v>
      </c>
      <c r="D13" s="8" t="s">
        <v>22</v>
      </c>
      <c r="E13" s="8" t="s">
        <v>26</v>
      </c>
      <c r="F13" s="39">
        <v>300.0</v>
      </c>
      <c r="G13" s="39">
        <v>1.0</v>
      </c>
      <c r="H13" s="41" t="s">
        <v>294</v>
      </c>
      <c r="I13" s="41" t="s">
        <v>295</v>
      </c>
      <c r="J13" s="8" t="s">
        <v>29</v>
      </c>
      <c r="K13" s="44">
        <v>21.0</v>
      </c>
      <c r="L13" s="21">
        <v>45972.54513888889</v>
      </c>
      <c r="M13" s="23">
        <v>45972.54791666667</v>
      </c>
    </row>
    <row r="14" ht="21.0" customHeight="1">
      <c r="A14" s="6" t="s">
        <v>296</v>
      </c>
      <c r="B14" s="8">
        <v>8.46219537E8</v>
      </c>
      <c r="C14" s="8" t="s">
        <v>24</v>
      </c>
      <c r="D14" s="8" t="s">
        <v>33</v>
      </c>
      <c r="E14" s="8" t="s">
        <v>34</v>
      </c>
      <c r="F14" s="39">
        <v>0.4</v>
      </c>
      <c r="G14" s="39">
        <v>0.0</v>
      </c>
      <c r="H14" s="41" t="s">
        <v>297</v>
      </c>
      <c r="I14" s="41" t="s">
        <v>298</v>
      </c>
      <c r="J14" s="8" t="s">
        <v>29</v>
      </c>
      <c r="K14" s="44">
        <v>15.0</v>
      </c>
      <c r="L14" s="21">
        <v>45662.26736111111</v>
      </c>
      <c r="M14" s="23">
        <v>45662.32361111111</v>
      </c>
    </row>
    <row r="15" ht="21.0" customHeight="1">
      <c r="A15" s="6" t="s">
        <v>299</v>
      </c>
      <c r="B15" s="8">
        <v>8.46219537E8</v>
      </c>
      <c r="C15" s="8" t="s">
        <v>41</v>
      </c>
      <c r="D15" s="8" t="s">
        <v>33</v>
      </c>
      <c r="E15" s="8" t="s">
        <v>34</v>
      </c>
      <c r="F15" s="39">
        <v>0.1</v>
      </c>
      <c r="G15" s="39">
        <v>0.0012</v>
      </c>
      <c r="H15" s="41" t="s">
        <v>312</v>
      </c>
      <c r="I15" s="41" t="s">
        <v>314</v>
      </c>
      <c r="J15" s="8" t="s">
        <v>29</v>
      </c>
      <c r="K15" s="44">
        <v>26.0</v>
      </c>
      <c r="L15" s="21">
        <v>45782.71875</v>
      </c>
      <c r="M15" s="23">
        <v>45782.74791666667</v>
      </c>
    </row>
    <row r="16" ht="21.0" customHeight="1">
      <c r="A16" s="6" t="s">
        <v>330</v>
      </c>
      <c r="B16" s="8">
        <v>8.46219537E8</v>
      </c>
      <c r="C16" s="8" t="s">
        <v>24</v>
      </c>
      <c r="D16" s="8" t="s">
        <v>22</v>
      </c>
      <c r="E16" s="8" t="s">
        <v>26</v>
      </c>
      <c r="F16" s="39">
        <v>1000.0</v>
      </c>
      <c r="G16" s="39">
        <v>0.0</v>
      </c>
      <c r="H16" s="41" t="s">
        <v>339</v>
      </c>
      <c r="I16" s="41" t="s">
        <v>340</v>
      </c>
      <c r="J16" s="8" t="s">
        <v>29</v>
      </c>
      <c r="K16" s="44">
        <v>27.0</v>
      </c>
      <c r="L16" s="21">
        <v>45940.375</v>
      </c>
      <c r="M16" s="23">
        <v>45940.40902777778</v>
      </c>
    </row>
    <row r="17" ht="21.0" customHeight="1">
      <c r="A17" s="6" t="s">
        <v>341</v>
      </c>
      <c r="B17" s="8">
        <v>6.92481305E8</v>
      </c>
      <c r="C17" s="8" t="s">
        <v>24</v>
      </c>
      <c r="D17" s="8" t="s">
        <v>22</v>
      </c>
      <c r="E17" s="8" t="s">
        <v>26</v>
      </c>
      <c r="F17" s="39">
        <v>2000.0</v>
      </c>
      <c r="G17" s="39">
        <v>0.0</v>
      </c>
      <c r="H17" s="41" t="s">
        <v>342</v>
      </c>
      <c r="I17" s="41" t="s">
        <v>343</v>
      </c>
      <c r="J17" s="8" t="s">
        <v>29</v>
      </c>
      <c r="K17" s="44">
        <v>21.0</v>
      </c>
      <c r="L17" s="21">
        <v>45664.604166666664</v>
      </c>
      <c r="M17" s="23">
        <v>45664.62847222222</v>
      </c>
    </row>
    <row r="18" ht="21.0" customHeight="1">
      <c r="A18" s="6" t="s">
        <v>344</v>
      </c>
      <c r="B18" s="8">
        <v>6.92481305E8</v>
      </c>
      <c r="C18" s="8" t="s">
        <v>41</v>
      </c>
      <c r="D18" s="8" t="s">
        <v>22</v>
      </c>
      <c r="E18" s="8" t="s">
        <v>26</v>
      </c>
      <c r="F18" s="39">
        <v>600.0</v>
      </c>
      <c r="G18" s="39">
        <v>1.0</v>
      </c>
      <c r="H18" s="41" t="s">
        <v>345</v>
      </c>
      <c r="I18" s="41" t="s">
        <v>346</v>
      </c>
      <c r="J18" s="8" t="s">
        <v>29</v>
      </c>
      <c r="K18" s="44">
        <v>22.0</v>
      </c>
      <c r="L18" s="21">
        <v>45734.48611111111</v>
      </c>
      <c r="M18" s="23">
        <v>45734.54236111111</v>
      </c>
    </row>
    <row r="19" ht="21.0" customHeight="1">
      <c r="A19" s="6" t="s">
        <v>347</v>
      </c>
      <c r="B19" s="8">
        <v>6.92481305E8</v>
      </c>
      <c r="C19" s="8" t="s">
        <v>24</v>
      </c>
      <c r="D19" s="8" t="s">
        <v>36</v>
      </c>
      <c r="E19" s="8" t="s">
        <v>38</v>
      </c>
      <c r="F19" s="39">
        <v>0.03</v>
      </c>
      <c r="G19" s="39">
        <v>0.0</v>
      </c>
      <c r="H19" s="41" t="s">
        <v>348</v>
      </c>
      <c r="I19" s="41" t="s">
        <v>349</v>
      </c>
      <c r="J19" s="8" t="s">
        <v>29</v>
      </c>
      <c r="K19" s="44">
        <v>7.0</v>
      </c>
      <c r="L19" s="21">
        <v>45847.80902777778</v>
      </c>
      <c r="M19" s="23">
        <v>45847.86666666667</v>
      </c>
    </row>
    <row r="20" ht="21.0" customHeight="1">
      <c r="A20" s="6" t="s">
        <v>350</v>
      </c>
      <c r="B20" s="8">
        <v>6.92481305E8</v>
      </c>
      <c r="C20" s="8" t="s">
        <v>24</v>
      </c>
      <c r="D20" s="8" t="s">
        <v>22</v>
      </c>
      <c r="E20" s="8" t="s">
        <v>43</v>
      </c>
      <c r="F20" s="39">
        <v>500.0</v>
      </c>
      <c r="G20" s="39">
        <v>0.0</v>
      </c>
      <c r="H20" s="41" t="s">
        <v>351</v>
      </c>
      <c r="I20" s="41" t="s">
        <v>352</v>
      </c>
      <c r="J20" s="8" t="s">
        <v>353</v>
      </c>
      <c r="K20" s="44">
        <v>5.0</v>
      </c>
      <c r="L20" s="21">
        <v>45870.34027777778</v>
      </c>
      <c r="M20" s="36"/>
    </row>
    <row r="21" ht="21.0" customHeight="1">
      <c r="A21" s="6" t="s">
        <v>354</v>
      </c>
      <c r="B21" s="8">
        <v>6.92481305E8</v>
      </c>
      <c r="C21" s="8" t="s">
        <v>41</v>
      </c>
      <c r="D21" s="8" t="s">
        <v>22</v>
      </c>
      <c r="E21" s="8" t="s">
        <v>43</v>
      </c>
      <c r="F21" s="39">
        <v>300.0</v>
      </c>
      <c r="G21" s="39">
        <v>0.8</v>
      </c>
      <c r="H21" s="72"/>
      <c r="I21" s="41" t="s">
        <v>355</v>
      </c>
      <c r="J21" s="8" t="s">
        <v>55</v>
      </c>
      <c r="K21" s="44">
        <v>0.0</v>
      </c>
      <c r="L21" s="21">
        <v>45992.305555555555</v>
      </c>
      <c r="M21" s="36"/>
    </row>
    <row r="22" ht="21.0" customHeight="1">
      <c r="A22" s="6" t="s">
        <v>356</v>
      </c>
      <c r="B22" s="8">
        <v>4.38750921E8</v>
      </c>
      <c r="C22" s="8" t="s">
        <v>24</v>
      </c>
      <c r="D22" s="8" t="s">
        <v>22</v>
      </c>
      <c r="E22" s="8" t="s">
        <v>26</v>
      </c>
      <c r="F22" s="39">
        <v>300.0</v>
      </c>
      <c r="G22" s="39">
        <v>0.0</v>
      </c>
      <c r="H22" s="41" t="s">
        <v>357</v>
      </c>
      <c r="I22" s="41" t="s">
        <v>358</v>
      </c>
      <c r="J22" s="8" t="s">
        <v>29</v>
      </c>
      <c r="K22" s="44">
        <v>26.0</v>
      </c>
      <c r="L22" s="21">
        <v>45657.98611111111</v>
      </c>
      <c r="M22" s="23">
        <v>45657.99652777778</v>
      </c>
    </row>
    <row r="23" ht="21.0" customHeight="1">
      <c r="A23" s="6" t="s">
        <v>359</v>
      </c>
      <c r="B23" s="8">
        <v>4.38750921E8</v>
      </c>
      <c r="C23" s="8" t="s">
        <v>24</v>
      </c>
      <c r="D23" s="8" t="s">
        <v>22</v>
      </c>
      <c r="E23" s="8" t="s">
        <v>26</v>
      </c>
      <c r="F23" s="39">
        <v>500.0</v>
      </c>
      <c r="G23" s="39">
        <v>0.0</v>
      </c>
      <c r="H23" s="41" t="s">
        <v>360</v>
      </c>
      <c r="I23" s="41" t="s">
        <v>361</v>
      </c>
      <c r="J23" s="8" t="s">
        <v>29</v>
      </c>
      <c r="K23" s="44">
        <v>25.0</v>
      </c>
      <c r="L23" s="21">
        <v>46023.010416666664</v>
      </c>
      <c r="M23" s="23">
        <v>46023.03611111111</v>
      </c>
    </row>
    <row r="24" ht="21.0" customHeight="1">
      <c r="A24" s="6" t="s">
        <v>362</v>
      </c>
      <c r="B24" s="8">
        <v>4.38750921E8</v>
      </c>
      <c r="C24" s="8" t="s">
        <v>24</v>
      </c>
      <c r="D24" s="8" t="s">
        <v>22</v>
      </c>
      <c r="E24" s="8" t="s">
        <v>26</v>
      </c>
      <c r="F24" s="39">
        <v>1000.0</v>
      </c>
      <c r="G24" s="39">
        <v>0.0</v>
      </c>
      <c r="H24" s="41" t="s">
        <v>363</v>
      </c>
      <c r="I24" s="41" t="s">
        <v>364</v>
      </c>
      <c r="J24" s="8" t="s">
        <v>29</v>
      </c>
      <c r="K24" s="44">
        <v>25.0</v>
      </c>
      <c r="L24" s="21">
        <v>46020.381944444445</v>
      </c>
      <c r="M24" s="23">
        <v>46020.39791666667</v>
      </c>
    </row>
    <row r="25" ht="21.0" customHeight="1">
      <c r="A25" s="6" t="s">
        <v>365</v>
      </c>
      <c r="B25" s="8">
        <v>4.38750921E8</v>
      </c>
      <c r="C25" s="8" t="s">
        <v>41</v>
      </c>
      <c r="D25" s="8" t="s">
        <v>22</v>
      </c>
      <c r="E25" s="8" t="s">
        <v>26</v>
      </c>
      <c r="F25" s="39">
        <v>1800.0</v>
      </c>
      <c r="G25" s="39">
        <v>1.0</v>
      </c>
      <c r="H25" s="41" t="s">
        <v>366</v>
      </c>
      <c r="I25" s="41" t="s">
        <v>367</v>
      </c>
      <c r="J25" s="8" t="s">
        <v>29</v>
      </c>
      <c r="K25" s="44">
        <v>34.0</v>
      </c>
      <c r="L25" s="21">
        <v>46022.510416666664</v>
      </c>
      <c r="M25" s="23">
        <v>46022.54583333333</v>
      </c>
    </row>
    <row r="26" ht="21.0" customHeight="1">
      <c r="A26" s="75" t="s">
        <v>368</v>
      </c>
      <c r="B26" s="76">
        <v>3.19582046E8</v>
      </c>
      <c r="C26" s="76" t="s">
        <v>24</v>
      </c>
      <c r="D26" s="76" t="s">
        <v>36</v>
      </c>
      <c r="E26" s="76" t="s">
        <v>38</v>
      </c>
      <c r="F26" s="77">
        <v>0.001</v>
      </c>
      <c r="G26" s="77">
        <v>0.0</v>
      </c>
      <c r="H26" s="78" t="s">
        <v>369</v>
      </c>
      <c r="I26" s="78" t="s">
        <v>370</v>
      </c>
      <c r="J26" s="76" t="s">
        <v>29</v>
      </c>
      <c r="K26" s="79">
        <v>6.0</v>
      </c>
      <c r="L26" s="80">
        <v>45966.59027777778</v>
      </c>
      <c r="M26" s="81">
        <v>45966.62152777778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26">
      <formula1>"deposit,withdrawal"</formula1>
    </dataValidation>
    <dataValidation type="list" allowBlank="1" sqref="J2:J26">
      <formula1>"completed,confirming,processing,failed,cancelled"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15.25"/>
    <col customWidth="1" min="3" max="3" width="14.5"/>
    <col customWidth="1" min="4" max="4" width="14.13"/>
    <col customWidth="1" min="5" max="5" width="12.5"/>
    <col customWidth="1" min="6" max="6" width="10.38"/>
    <col customWidth="1" min="7" max="7" width="37.0"/>
    <col customWidth="1" min="8" max="8" width="9.75"/>
    <col customWidth="1" min="9" max="9" width="56.13"/>
  </cols>
  <sheetData>
    <row r="1">
      <c r="A1" s="40" t="s">
        <v>90</v>
      </c>
      <c r="B1" s="42" t="s">
        <v>93</v>
      </c>
      <c r="C1" s="42" t="s">
        <v>95</v>
      </c>
      <c r="D1" s="42" t="s">
        <v>96</v>
      </c>
      <c r="E1" s="42" t="s">
        <v>97</v>
      </c>
      <c r="F1" s="42" t="s">
        <v>98</v>
      </c>
      <c r="G1" s="42" t="s">
        <v>99</v>
      </c>
      <c r="H1" s="42" t="s">
        <v>100</v>
      </c>
      <c r="I1" s="43" t="s">
        <v>101</v>
      </c>
    </row>
    <row r="2">
      <c r="A2" s="45" t="s">
        <v>102</v>
      </c>
      <c r="B2" s="46" t="s">
        <v>103</v>
      </c>
      <c r="C2" s="46" t="s">
        <v>0</v>
      </c>
      <c r="D2" s="46" t="s">
        <v>104</v>
      </c>
      <c r="E2" s="47" t="s">
        <v>105</v>
      </c>
      <c r="F2" s="47" t="s">
        <v>107</v>
      </c>
      <c r="G2" s="48" t="s">
        <v>108</v>
      </c>
      <c r="H2" s="47" t="s">
        <v>110</v>
      </c>
      <c r="I2" s="49" t="s">
        <v>111</v>
      </c>
    </row>
    <row r="3">
      <c r="A3" s="45" t="s">
        <v>112</v>
      </c>
      <c r="B3" s="46" t="s">
        <v>103</v>
      </c>
      <c r="C3" s="46" t="s">
        <v>2</v>
      </c>
      <c r="D3" s="46" t="s">
        <v>113</v>
      </c>
      <c r="E3" s="47" t="s">
        <v>105</v>
      </c>
      <c r="F3" s="47" t="s">
        <v>105</v>
      </c>
      <c r="G3" s="48" t="s">
        <v>114</v>
      </c>
      <c r="H3" s="47" t="s">
        <v>115</v>
      </c>
      <c r="I3" s="49" t="s">
        <v>116</v>
      </c>
    </row>
    <row r="4">
      <c r="A4" s="45" t="s">
        <v>117</v>
      </c>
      <c r="B4" s="46" t="s">
        <v>103</v>
      </c>
      <c r="C4" s="46" t="s">
        <v>5</v>
      </c>
      <c r="D4" s="46" t="s">
        <v>118</v>
      </c>
      <c r="E4" s="47" t="s">
        <v>105</v>
      </c>
      <c r="F4" s="47" t="s">
        <v>105</v>
      </c>
      <c r="G4" s="48" t="s">
        <v>120</v>
      </c>
      <c r="H4" s="47" t="s">
        <v>115</v>
      </c>
      <c r="I4" s="49" t="s">
        <v>122</v>
      </c>
    </row>
    <row r="5">
      <c r="A5" s="45" t="s">
        <v>123</v>
      </c>
      <c r="B5" s="46" t="s">
        <v>103</v>
      </c>
      <c r="C5" s="46" t="s">
        <v>7</v>
      </c>
      <c r="D5" s="46" t="s">
        <v>126</v>
      </c>
      <c r="E5" s="47" t="s">
        <v>105</v>
      </c>
      <c r="F5" s="47" t="s">
        <v>105</v>
      </c>
      <c r="G5" s="48" t="s">
        <v>130</v>
      </c>
      <c r="H5" s="47" t="s">
        <v>115</v>
      </c>
      <c r="I5" s="49" t="s">
        <v>132</v>
      </c>
    </row>
    <row r="6">
      <c r="A6" s="45" t="s">
        <v>133</v>
      </c>
      <c r="B6" s="47" t="s">
        <v>103</v>
      </c>
      <c r="C6" s="47" t="s">
        <v>10</v>
      </c>
      <c r="D6" s="47" t="s">
        <v>136</v>
      </c>
      <c r="E6" s="47" t="s">
        <v>105</v>
      </c>
      <c r="F6" s="47" t="s">
        <v>105</v>
      </c>
      <c r="G6" s="48" t="s">
        <v>137</v>
      </c>
      <c r="H6" s="47" t="s">
        <v>115</v>
      </c>
      <c r="I6" s="49" t="s">
        <v>139</v>
      </c>
    </row>
    <row r="7">
      <c r="A7" s="45" t="s">
        <v>140</v>
      </c>
      <c r="B7" s="47" t="s">
        <v>103</v>
      </c>
      <c r="C7" s="47" t="s">
        <v>14</v>
      </c>
      <c r="D7" s="47" t="s">
        <v>113</v>
      </c>
      <c r="E7" s="47" t="s">
        <v>105</v>
      </c>
      <c r="F7" s="47" t="s">
        <v>105</v>
      </c>
      <c r="G7" s="48" t="s">
        <v>142</v>
      </c>
      <c r="H7" s="47" t="s">
        <v>115</v>
      </c>
      <c r="I7" s="49" t="s">
        <v>143</v>
      </c>
    </row>
    <row r="8">
      <c r="A8" s="45" t="s">
        <v>144</v>
      </c>
      <c r="B8" s="47" t="s">
        <v>103</v>
      </c>
      <c r="C8" s="47" t="s">
        <v>17</v>
      </c>
      <c r="D8" s="47" t="s">
        <v>145</v>
      </c>
      <c r="E8" s="47" t="s">
        <v>105</v>
      </c>
      <c r="F8" s="47" t="s">
        <v>105</v>
      </c>
      <c r="G8" s="48" t="s">
        <v>148</v>
      </c>
      <c r="H8" s="47" t="s">
        <v>115</v>
      </c>
      <c r="I8" s="49" t="s">
        <v>149</v>
      </c>
    </row>
    <row r="9">
      <c r="A9" s="45" t="s">
        <v>150</v>
      </c>
      <c r="B9" s="47" t="s">
        <v>151</v>
      </c>
      <c r="C9" s="47" t="s">
        <v>1</v>
      </c>
      <c r="D9" s="47" t="s">
        <v>113</v>
      </c>
      <c r="E9" s="47" t="s">
        <v>105</v>
      </c>
      <c r="F9" s="47" t="s">
        <v>107</v>
      </c>
      <c r="G9" s="48" t="s">
        <v>153</v>
      </c>
      <c r="H9" s="47" t="s">
        <v>110</v>
      </c>
      <c r="I9" s="49" t="s">
        <v>154</v>
      </c>
    </row>
    <row r="10">
      <c r="A10" s="45" t="s">
        <v>155</v>
      </c>
      <c r="B10" s="47" t="s">
        <v>151</v>
      </c>
      <c r="C10" s="47" t="s">
        <v>0</v>
      </c>
      <c r="D10" s="47" t="s">
        <v>104</v>
      </c>
      <c r="E10" s="47" t="s">
        <v>105</v>
      </c>
      <c r="F10" s="47" t="s">
        <v>105</v>
      </c>
      <c r="G10" s="48" t="s">
        <v>108</v>
      </c>
      <c r="H10" s="47" t="s">
        <v>156</v>
      </c>
      <c r="I10" s="49" t="s">
        <v>157</v>
      </c>
    </row>
    <row r="11">
      <c r="A11" s="45" t="s">
        <v>160</v>
      </c>
      <c r="B11" s="47" t="s">
        <v>151</v>
      </c>
      <c r="C11" s="47" t="s">
        <v>3</v>
      </c>
      <c r="D11" s="47" t="s">
        <v>113</v>
      </c>
      <c r="E11" s="47" t="s">
        <v>105</v>
      </c>
      <c r="F11" s="47" t="s">
        <v>105</v>
      </c>
      <c r="G11" s="48" t="s">
        <v>161</v>
      </c>
      <c r="H11" s="47" t="s">
        <v>115</v>
      </c>
      <c r="I11" s="49" t="s">
        <v>163</v>
      </c>
    </row>
    <row r="12">
      <c r="A12" s="45" t="s">
        <v>164</v>
      </c>
      <c r="B12" s="47" t="s">
        <v>151</v>
      </c>
      <c r="C12" s="47" t="s">
        <v>6</v>
      </c>
      <c r="D12" s="47" t="s">
        <v>126</v>
      </c>
      <c r="E12" s="47" t="s">
        <v>105</v>
      </c>
      <c r="F12" s="47" t="s">
        <v>105</v>
      </c>
      <c r="G12" s="48" t="s">
        <v>130</v>
      </c>
      <c r="H12" s="47" t="s">
        <v>115</v>
      </c>
      <c r="I12" s="49" t="s">
        <v>166</v>
      </c>
    </row>
    <row r="13">
      <c r="A13" s="45" t="s">
        <v>167</v>
      </c>
      <c r="B13" s="47" t="s">
        <v>151</v>
      </c>
      <c r="C13" s="47" t="s">
        <v>9</v>
      </c>
      <c r="D13" s="47" t="s">
        <v>169</v>
      </c>
      <c r="E13" s="47" t="s">
        <v>105</v>
      </c>
      <c r="F13" s="47" t="s">
        <v>105</v>
      </c>
      <c r="G13" s="48" t="s">
        <v>171</v>
      </c>
      <c r="H13" s="47" t="s">
        <v>115</v>
      </c>
      <c r="I13" s="49" t="s">
        <v>173</v>
      </c>
    </row>
    <row r="14">
      <c r="A14" s="45" t="s">
        <v>174</v>
      </c>
      <c r="B14" s="47" t="s">
        <v>151</v>
      </c>
      <c r="C14" s="47" t="s">
        <v>11</v>
      </c>
      <c r="D14" s="47" t="s">
        <v>169</v>
      </c>
      <c r="E14" s="47" t="s">
        <v>105</v>
      </c>
      <c r="F14" s="47" t="s">
        <v>105</v>
      </c>
      <c r="G14" s="48" t="s">
        <v>177</v>
      </c>
      <c r="H14" s="47" t="s">
        <v>115</v>
      </c>
      <c r="I14" s="49" t="s">
        <v>179</v>
      </c>
    </row>
    <row r="15">
      <c r="A15" s="45" t="s">
        <v>181</v>
      </c>
      <c r="B15" s="47" t="s">
        <v>151</v>
      </c>
      <c r="C15" s="47" t="s">
        <v>13</v>
      </c>
      <c r="D15" s="47" t="s">
        <v>113</v>
      </c>
      <c r="E15" s="47" t="s">
        <v>105</v>
      </c>
      <c r="F15" s="47" t="s">
        <v>105</v>
      </c>
      <c r="G15" s="48" t="s">
        <v>185</v>
      </c>
      <c r="H15" s="47" t="s">
        <v>115</v>
      </c>
      <c r="I15" s="49" t="s">
        <v>186</v>
      </c>
    </row>
    <row r="16">
      <c r="A16" s="45" t="s">
        <v>187</v>
      </c>
      <c r="B16" s="47" t="s">
        <v>151</v>
      </c>
      <c r="C16" s="47" t="s">
        <v>16</v>
      </c>
      <c r="D16" s="47" t="s">
        <v>113</v>
      </c>
      <c r="E16" s="47" t="s">
        <v>105</v>
      </c>
      <c r="F16" s="47" t="s">
        <v>105</v>
      </c>
      <c r="G16" s="48" t="s">
        <v>191</v>
      </c>
      <c r="H16" s="47" t="s">
        <v>115</v>
      </c>
      <c r="I16" s="49" t="s">
        <v>192</v>
      </c>
    </row>
    <row r="17">
      <c r="A17" s="45" t="s">
        <v>195</v>
      </c>
      <c r="B17" s="47" t="s">
        <v>151</v>
      </c>
      <c r="C17" s="47" t="s">
        <v>17</v>
      </c>
      <c r="D17" s="47" t="s">
        <v>145</v>
      </c>
      <c r="E17" s="47" t="s">
        <v>105</v>
      </c>
      <c r="F17" s="47" t="s">
        <v>105</v>
      </c>
      <c r="G17" s="48" t="s">
        <v>148</v>
      </c>
      <c r="H17" s="47" t="s">
        <v>115</v>
      </c>
      <c r="I17" s="49" t="s">
        <v>197</v>
      </c>
    </row>
    <row r="18">
      <c r="A18" s="45" t="s">
        <v>200</v>
      </c>
      <c r="B18" s="47" t="s">
        <v>151</v>
      </c>
      <c r="C18" s="47" t="s">
        <v>19</v>
      </c>
      <c r="D18" s="47" t="s">
        <v>145</v>
      </c>
      <c r="E18" s="47" t="s">
        <v>107</v>
      </c>
      <c r="F18" s="47" t="s">
        <v>105</v>
      </c>
      <c r="G18" s="48" t="s">
        <v>203</v>
      </c>
      <c r="H18" s="47" t="s">
        <v>115</v>
      </c>
      <c r="I18" s="49" t="s">
        <v>205</v>
      </c>
    </row>
    <row r="19">
      <c r="A19" s="45" t="s">
        <v>206</v>
      </c>
      <c r="B19" s="47" t="s">
        <v>172</v>
      </c>
      <c r="C19" s="47" t="s">
        <v>83</v>
      </c>
      <c r="D19" s="47" t="s">
        <v>113</v>
      </c>
      <c r="E19" s="47" t="s">
        <v>105</v>
      </c>
      <c r="F19" s="47" t="s">
        <v>107</v>
      </c>
      <c r="G19" s="48" t="s">
        <v>208</v>
      </c>
      <c r="H19" s="47" t="s">
        <v>110</v>
      </c>
      <c r="I19" s="49" t="s">
        <v>210</v>
      </c>
    </row>
    <row r="20">
      <c r="A20" s="45" t="s">
        <v>212</v>
      </c>
      <c r="B20" s="47" t="s">
        <v>172</v>
      </c>
      <c r="C20" s="47" t="s">
        <v>0</v>
      </c>
      <c r="D20" s="47" t="s">
        <v>104</v>
      </c>
      <c r="E20" s="47" t="s">
        <v>105</v>
      </c>
      <c r="F20" s="47" t="s">
        <v>105</v>
      </c>
      <c r="G20" s="48" t="s">
        <v>108</v>
      </c>
      <c r="H20" s="47" t="s">
        <v>156</v>
      </c>
      <c r="I20" s="49" t="s">
        <v>157</v>
      </c>
    </row>
    <row r="21">
      <c r="A21" s="45" t="s">
        <v>217</v>
      </c>
      <c r="B21" s="47" t="s">
        <v>172</v>
      </c>
      <c r="C21" s="47" t="s">
        <v>3</v>
      </c>
      <c r="D21" s="47" t="s">
        <v>113</v>
      </c>
      <c r="E21" s="47" t="s">
        <v>105</v>
      </c>
      <c r="F21" s="47" t="s">
        <v>105</v>
      </c>
      <c r="G21" s="48" t="s">
        <v>161</v>
      </c>
      <c r="H21" s="47" t="s">
        <v>115</v>
      </c>
      <c r="I21" s="49" t="s">
        <v>221</v>
      </c>
    </row>
    <row r="22">
      <c r="A22" s="45" t="s">
        <v>223</v>
      </c>
      <c r="B22" s="47" t="s">
        <v>172</v>
      </c>
      <c r="C22" s="47" t="s">
        <v>4</v>
      </c>
      <c r="D22" s="47" t="s">
        <v>113</v>
      </c>
      <c r="E22" s="47" t="s">
        <v>105</v>
      </c>
      <c r="F22" s="47" t="s">
        <v>105</v>
      </c>
      <c r="G22" s="48" t="s">
        <v>224</v>
      </c>
      <c r="H22" s="47" t="s">
        <v>115</v>
      </c>
      <c r="I22" s="49" t="s">
        <v>225</v>
      </c>
    </row>
    <row r="23">
      <c r="A23" s="45" t="s">
        <v>226</v>
      </c>
      <c r="B23" s="47" t="s">
        <v>172</v>
      </c>
      <c r="C23" s="47" t="s">
        <v>8</v>
      </c>
      <c r="D23" s="47" t="s">
        <v>113</v>
      </c>
      <c r="E23" s="47" t="s">
        <v>105</v>
      </c>
      <c r="F23" s="47" t="s">
        <v>105</v>
      </c>
      <c r="G23" s="48" t="s">
        <v>229</v>
      </c>
      <c r="H23" s="47" t="s">
        <v>115</v>
      </c>
      <c r="I23" s="49" t="s">
        <v>232</v>
      </c>
    </row>
    <row r="24">
      <c r="A24" s="45" t="s">
        <v>234</v>
      </c>
      <c r="B24" s="47" t="s">
        <v>172</v>
      </c>
      <c r="C24" s="47" t="s">
        <v>9</v>
      </c>
      <c r="D24" s="47" t="s">
        <v>237</v>
      </c>
      <c r="E24" s="47" t="s">
        <v>105</v>
      </c>
      <c r="F24" s="47" t="s">
        <v>105</v>
      </c>
      <c r="G24" s="48" t="s">
        <v>171</v>
      </c>
      <c r="H24" s="47" t="s">
        <v>115</v>
      </c>
      <c r="I24" s="49" t="s">
        <v>240</v>
      </c>
    </row>
    <row r="25">
      <c r="A25" s="45" t="s">
        <v>241</v>
      </c>
      <c r="B25" s="47" t="s">
        <v>172</v>
      </c>
      <c r="C25" s="47" t="s">
        <v>11</v>
      </c>
      <c r="D25" s="47" t="s">
        <v>237</v>
      </c>
      <c r="E25" s="47" t="s">
        <v>105</v>
      </c>
      <c r="F25" s="47" t="s">
        <v>105</v>
      </c>
      <c r="G25" s="48" t="s">
        <v>177</v>
      </c>
      <c r="H25" s="47" t="s">
        <v>115</v>
      </c>
      <c r="I25" s="49" t="s">
        <v>246</v>
      </c>
    </row>
    <row r="26">
      <c r="A26" s="45" t="s">
        <v>247</v>
      </c>
      <c r="B26" s="47" t="s">
        <v>172</v>
      </c>
      <c r="C26" s="47" t="s">
        <v>85</v>
      </c>
      <c r="D26" s="47" t="s">
        <v>113</v>
      </c>
      <c r="E26" s="47" t="s">
        <v>107</v>
      </c>
      <c r="F26" s="47" t="s">
        <v>105</v>
      </c>
      <c r="G26" s="48" t="s">
        <v>251</v>
      </c>
      <c r="H26" s="47" t="s">
        <v>115</v>
      </c>
      <c r="I26" s="49" t="s">
        <v>253</v>
      </c>
    </row>
    <row r="27">
      <c r="A27" s="45" t="s">
        <v>254</v>
      </c>
      <c r="B27" s="47" t="s">
        <v>172</v>
      </c>
      <c r="C27" s="47" t="s">
        <v>86</v>
      </c>
      <c r="D27" s="47" t="s">
        <v>113</v>
      </c>
      <c r="E27" s="47" t="s">
        <v>105</v>
      </c>
      <c r="F27" s="47" t="s">
        <v>105</v>
      </c>
      <c r="G27" s="48" t="s">
        <v>261</v>
      </c>
      <c r="H27" s="47" t="s">
        <v>115</v>
      </c>
      <c r="I27" s="49" t="s">
        <v>262</v>
      </c>
    </row>
    <row r="28">
      <c r="A28" s="59" t="s">
        <v>264</v>
      </c>
      <c r="B28" s="61" t="s">
        <v>172</v>
      </c>
      <c r="C28" s="61" t="s">
        <v>16</v>
      </c>
      <c r="D28" s="61" t="s">
        <v>113</v>
      </c>
      <c r="E28" s="61" t="s">
        <v>105</v>
      </c>
      <c r="F28" s="61" t="s">
        <v>105</v>
      </c>
      <c r="G28" s="63" t="s">
        <v>268</v>
      </c>
      <c r="H28" s="61" t="s">
        <v>115</v>
      </c>
      <c r="I28" s="65" t="s">
        <v>271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20.13"/>
    <col customWidth="1" min="3" max="3" width="21.38"/>
    <col customWidth="1" min="4" max="4" width="42.63"/>
    <col customWidth="1" min="5" max="5" width="11.38"/>
    <col customWidth="1" min="6" max="6" width="13.88"/>
    <col customWidth="1" min="7" max="7" width="12.63"/>
    <col customWidth="1" min="8" max="8" width="110.0"/>
  </cols>
  <sheetData>
    <row r="1">
      <c r="A1" s="40" t="s">
        <v>119</v>
      </c>
      <c r="B1" s="42" t="s">
        <v>121</v>
      </c>
      <c r="C1" s="42" t="s">
        <v>93</v>
      </c>
      <c r="D1" s="42" t="s">
        <v>124</v>
      </c>
      <c r="E1" s="42" t="s">
        <v>127</v>
      </c>
      <c r="F1" s="42" t="s">
        <v>129</v>
      </c>
      <c r="G1" s="42" t="s">
        <v>131</v>
      </c>
      <c r="H1" s="43" t="s">
        <v>134</v>
      </c>
    </row>
    <row r="2">
      <c r="A2" s="50" t="s">
        <v>138</v>
      </c>
      <c r="B2" s="51" t="s">
        <v>141</v>
      </c>
      <c r="C2" s="51" t="s">
        <v>103</v>
      </c>
      <c r="D2" s="52" t="s">
        <v>146</v>
      </c>
      <c r="E2" s="53" t="s">
        <v>152</v>
      </c>
      <c r="F2" s="54">
        <v>0.0</v>
      </c>
      <c r="G2" s="55" t="s">
        <v>159</v>
      </c>
      <c r="H2" s="56" t="s">
        <v>162</v>
      </c>
    </row>
    <row r="3">
      <c r="A3" s="50" t="s">
        <v>165</v>
      </c>
      <c r="B3" s="51" t="s">
        <v>141</v>
      </c>
      <c r="C3" s="51" t="s">
        <v>151</v>
      </c>
      <c r="D3" s="52" t="s">
        <v>146</v>
      </c>
      <c r="E3" s="53" t="s">
        <v>152</v>
      </c>
      <c r="F3" s="54">
        <v>0.0</v>
      </c>
      <c r="G3" s="55" t="s">
        <v>159</v>
      </c>
      <c r="H3" s="56" t="s">
        <v>168</v>
      </c>
    </row>
    <row r="4">
      <c r="A4" s="50" t="s">
        <v>170</v>
      </c>
      <c r="B4" s="51" t="s">
        <v>141</v>
      </c>
      <c r="C4" s="51" t="s">
        <v>172</v>
      </c>
      <c r="D4" s="52" t="s">
        <v>146</v>
      </c>
      <c r="E4" s="53" t="s">
        <v>152</v>
      </c>
      <c r="F4" s="54">
        <v>0.0</v>
      </c>
      <c r="G4" s="55" t="s">
        <v>159</v>
      </c>
      <c r="H4" s="56" t="s">
        <v>175</v>
      </c>
    </row>
    <row r="5">
      <c r="A5" s="50" t="s">
        <v>176</v>
      </c>
      <c r="B5" s="51" t="s">
        <v>178</v>
      </c>
      <c r="C5" s="51" t="s">
        <v>103</v>
      </c>
      <c r="D5" s="52" t="s">
        <v>180</v>
      </c>
      <c r="E5" s="53" t="s">
        <v>152</v>
      </c>
      <c r="F5" s="54">
        <v>0.0</v>
      </c>
      <c r="G5" s="55" t="s">
        <v>182</v>
      </c>
      <c r="H5" s="56" t="s">
        <v>183</v>
      </c>
    </row>
    <row r="6">
      <c r="A6" s="50" t="s">
        <v>184</v>
      </c>
      <c r="B6" s="51" t="s">
        <v>178</v>
      </c>
      <c r="C6" s="51" t="s">
        <v>151</v>
      </c>
      <c r="D6" s="52" t="s">
        <v>180</v>
      </c>
      <c r="E6" s="53" t="s">
        <v>152</v>
      </c>
      <c r="F6" s="54">
        <v>0.0</v>
      </c>
      <c r="G6" s="55" t="s">
        <v>182</v>
      </c>
      <c r="H6" s="56" t="s">
        <v>189</v>
      </c>
    </row>
    <row r="7">
      <c r="A7" s="50" t="s">
        <v>193</v>
      </c>
      <c r="B7" s="51" t="s">
        <v>178</v>
      </c>
      <c r="C7" s="51" t="s">
        <v>172</v>
      </c>
      <c r="D7" s="52" t="s">
        <v>180</v>
      </c>
      <c r="E7" s="53" t="s">
        <v>152</v>
      </c>
      <c r="F7" s="54">
        <v>0.0</v>
      </c>
      <c r="G7" s="55" t="s">
        <v>182</v>
      </c>
      <c r="H7" s="56" t="s">
        <v>196</v>
      </c>
    </row>
    <row r="8">
      <c r="A8" s="50" t="s">
        <v>198</v>
      </c>
      <c r="B8" s="51" t="s">
        <v>199</v>
      </c>
      <c r="C8" s="51" t="s">
        <v>103</v>
      </c>
      <c r="D8" s="52" t="s">
        <v>201</v>
      </c>
      <c r="E8" s="53" t="s">
        <v>152</v>
      </c>
      <c r="F8" s="54">
        <v>0.0</v>
      </c>
      <c r="G8" s="55" t="s">
        <v>182</v>
      </c>
      <c r="H8" s="56" t="s">
        <v>202</v>
      </c>
    </row>
    <row r="9">
      <c r="A9" s="50" t="s">
        <v>204</v>
      </c>
      <c r="B9" s="51" t="s">
        <v>199</v>
      </c>
      <c r="C9" s="51" t="s">
        <v>151</v>
      </c>
      <c r="D9" s="52" t="s">
        <v>207</v>
      </c>
      <c r="E9" s="53" t="s">
        <v>152</v>
      </c>
      <c r="F9" s="54">
        <v>0.0</v>
      </c>
      <c r="G9" s="55" t="s">
        <v>182</v>
      </c>
      <c r="H9" s="56" t="s">
        <v>209</v>
      </c>
    </row>
    <row r="10">
      <c r="A10" s="50" t="s">
        <v>211</v>
      </c>
      <c r="B10" s="51" t="s">
        <v>199</v>
      </c>
      <c r="C10" s="51" t="s">
        <v>172</v>
      </c>
      <c r="D10" s="52" t="s">
        <v>213</v>
      </c>
      <c r="E10" s="53" t="s">
        <v>152</v>
      </c>
      <c r="F10" s="54">
        <v>0.0</v>
      </c>
      <c r="G10" s="55" t="s">
        <v>182</v>
      </c>
      <c r="H10" s="56" t="s">
        <v>209</v>
      </c>
    </row>
    <row r="11">
      <c r="A11" s="50" t="s">
        <v>216</v>
      </c>
      <c r="B11" s="51" t="s">
        <v>218</v>
      </c>
      <c r="C11" s="51" t="s">
        <v>151</v>
      </c>
      <c r="D11" s="52" t="s">
        <v>219</v>
      </c>
      <c r="E11" s="53" t="s">
        <v>152</v>
      </c>
      <c r="F11" s="54">
        <v>0.0</v>
      </c>
      <c r="G11" s="55" t="s">
        <v>182</v>
      </c>
      <c r="H11" s="56" t="s">
        <v>220</v>
      </c>
    </row>
    <row r="12">
      <c r="A12" s="50" t="s">
        <v>222</v>
      </c>
      <c r="B12" s="55" t="s">
        <v>218</v>
      </c>
      <c r="C12" s="55" t="s">
        <v>172</v>
      </c>
      <c r="D12" s="57" t="s">
        <v>219</v>
      </c>
      <c r="E12" s="55" t="s">
        <v>152</v>
      </c>
      <c r="F12" s="54">
        <v>0.0</v>
      </c>
      <c r="G12" s="55" t="s">
        <v>182</v>
      </c>
      <c r="H12" s="56" t="s">
        <v>227</v>
      </c>
    </row>
    <row r="13">
      <c r="A13" s="50" t="s">
        <v>228</v>
      </c>
      <c r="B13" s="55" t="s">
        <v>230</v>
      </c>
      <c r="C13" s="55" t="s">
        <v>151</v>
      </c>
      <c r="D13" s="57" t="s">
        <v>233</v>
      </c>
      <c r="E13" s="55" t="s">
        <v>152</v>
      </c>
      <c r="F13" s="54">
        <v>0.0</v>
      </c>
      <c r="G13" s="55" t="s">
        <v>235</v>
      </c>
      <c r="H13" s="56" t="s">
        <v>236</v>
      </c>
    </row>
    <row r="14">
      <c r="A14" s="50" t="s">
        <v>238</v>
      </c>
      <c r="B14" s="55" t="s">
        <v>230</v>
      </c>
      <c r="C14" s="55" t="s">
        <v>172</v>
      </c>
      <c r="D14" s="57" t="s">
        <v>239</v>
      </c>
      <c r="E14" s="55" t="s">
        <v>152</v>
      </c>
      <c r="F14" s="54">
        <v>0.0</v>
      </c>
      <c r="G14" s="55" t="s">
        <v>235</v>
      </c>
      <c r="H14" s="56" t="s">
        <v>242</v>
      </c>
    </row>
    <row r="15">
      <c r="A15" s="50" t="s">
        <v>243</v>
      </c>
      <c r="B15" s="55" t="s">
        <v>244</v>
      </c>
      <c r="C15" s="55" t="s">
        <v>151</v>
      </c>
      <c r="D15" s="57" t="s">
        <v>245</v>
      </c>
      <c r="E15" s="55" t="s">
        <v>152</v>
      </c>
      <c r="F15" s="54">
        <v>0.0</v>
      </c>
      <c r="G15" s="55" t="s">
        <v>235</v>
      </c>
      <c r="H15" s="56" t="s">
        <v>248</v>
      </c>
    </row>
    <row r="16">
      <c r="A16" s="50" t="s">
        <v>249</v>
      </c>
      <c r="B16" s="55" t="s">
        <v>244</v>
      </c>
      <c r="C16" s="55" t="s">
        <v>172</v>
      </c>
      <c r="D16" s="57" t="s">
        <v>252</v>
      </c>
      <c r="E16" s="55" t="s">
        <v>152</v>
      </c>
      <c r="F16" s="54">
        <v>0.0</v>
      </c>
      <c r="G16" s="55" t="s">
        <v>235</v>
      </c>
      <c r="H16" s="56" t="s">
        <v>255</v>
      </c>
    </row>
    <row r="17">
      <c r="A17" s="50" t="s">
        <v>257</v>
      </c>
      <c r="B17" s="55" t="s">
        <v>258</v>
      </c>
      <c r="C17" s="55" t="s">
        <v>259</v>
      </c>
      <c r="D17" s="57" t="s">
        <v>260</v>
      </c>
      <c r="E17" s="55" t="s">
        <v>152</v>
      </c>
      <c r="F17" s="54">
        <v>0.0</v>
      </c>
      <c r="G17" s="55" t="s">
        <v>159</v>
      </c>
      <c r="H17" s="56" t="s">
        <v>263</v>
      </c>
    </row>
    <row r="18">
      <c r="A18" s="58" t="s">
        <v>265</v>
      </c>
      <c r="B18" s="60" t="s">
        <v>258</v>
      </c>
      <c r="C18" s="60" t="s">
        <v>266</v>
      </c>
      <c r="D18" s="62" t="s">
        <v>267</v>
      </c>
      <c r="E18" s="60" t="s">
        <v>152</v>
      </c>
      <c r="F18" s="64">
        <v>0.0</v>
      </c>
      <c r="G18" s="60" t="s">
        <v>159</v>
      </c>
      <c r="H18" s="66" t="s">
        <v>272</v>
      </c>
    </row>
  </sheetData>
  <conditionalFormatting sqref="E2:E18">
    <cfRule type="cellIs" dxfId="7" priority="1" stopIfTrue="1" operator="equal">
      <formula>"PASSED"</formula>
    </cfRule>
  </conditionalFormatting>
  <conditionalFormatting sqref="E2:E18">
    <cfRule type="cellIs" dxfId="8" priority="2" stopIfTrue="1" operator="equal">
      <formula>"WARN"</formula>
    </cfRule>
  </conditionalFormatting>
  <conditionalFormatting sqref="E2:E18">
    <cfRule type="cellIs" dxfId="9" priority="3" stopIfTrue="1" operator="equal">
      <formula>"FAILED"</formula>
    </cfRule>
  </conditionalFormatting>
  <conditionalFormatting sqref="E2:E18">
    <cfRule type="containsText" dxfId="10" priority="4" stopIfTrue="1" operator="containsText" text="FAIL">
      <formula>NOT(ISERROR(SEARCH(("FAIL"),(E2))))</formula>
    </cfRule>
  </conditionalFormatting>
  <conditionalFormatting sqref="E2:E18">
    <cfRule type="containsText" dxfId="11" priority="5" stopIfTrue="1" operator="containsText" text="WARN">
      <formula>NOT(ISERROR(SEARCH(("WARN"),(E2))))</formula>
    </cfRule>
  </conditionalFormatting>
  <conditionalFormatting sqref="E2:E18">
    <cfRule type="containsText" dxfId="12" priority="6" stopIfTrue="1" operator="containsText" text="PASS">
      <formula>NOT(ISERROR(SEARCH(("PASS"),(E2))))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32.63"/>
    <col customWidth="1" min="3" max="3" width="35.13"/>
    <col customWidth="1" min="4" max="4" width="27.63"/>
    <col customWidth="1" min="5" max="5" width="47.63"/>
    <col customWidth="1" min="6" max="6" width="14.63"/>
    <col customWidth="1" min="7" max="7" width="27.25"/>
  </cols>
  <sheetData>
    <row r="1">
      <c r="A1" s="40" t="s">
        <v>300</v>
      </c>
      <c r="B1" s="42" t="s">
        <v>301</v>
      </c>
      <c r="C1" s="42" t="s">
        <v>302</v>
      </c>
      <c r="D1" s="42" t="s">
        <v>303</v>
      </c>
      <c r="E1" s="42" t="s">
        <v>304</v>
      </c>
      <c r="F1" s="42" t="s">
        <v>305</v>
      </c>
      <c r="G1" s="43" t="s">
        <v>306</v>
      </c>
    </row>
    <row r="2">
      <c r="A2" s="50" t="s">
        <v>307</v>
      </c>
      <c r="B2" s="57" t="s">
        <v>308</v>
      </c>
      <c r="C2" s="57" t="s">
        <v>309</v>
      </c>
      <c r="D2" s="57" t="s">
        <v>310</v>
      </c>
      <c r="E2" s="57" t="s">
        <v>311</v>
      </c>
      <c r="F2" s="73" t="s">
        <v>313</v>
      </c>
      <c r="G2" s="56" t="s">
        <v>315</v>
      </c>
    </row>
    <row r="3">
      <c r="A3" s="50" t="s">
        <v>316</v>
      </c>
      <c r="B3" s="57" t="s">
        <v>317</v>
      </c>
      <c r="C3" s="57" t="s">
        <v>318</v>
      </c>
      <c r="D3" s="57" t="s">
        <v>319</v>
      </c>
      <c r="E3" s="57" t="s">
        <v>320</v>
      </c>
      <c r="F3" s="73" t="s">
        <v>313</v>
      </c>
      <c r="G3" s="56" t="s">
        <v>321</v>
      </c>
    </row>
    <row r="4">
      <c r="A4" s="50" t="s">
        <v>322</v>
      </c>
      <c r="B4" s="57" t="s">
        <v>323</v>
      </c>
      <c r="C4" s="57" t="s">
        <v>324</v>
      </c>
      <c r="D4" s="57" t="s">
        <v>310</v>
      </c>
      <c r="E4" s="57" t="s">
        <v>325</v>
      </c>
      <c r="F4" s="73" t="s">
        <v>313</v>
      </c>
      <c r="G4" s="56" t="s">
        <v>326</v>
      </c>
    </row>
    <row r="5">
      <c r="A5" s="50" t="s">
        <v>327</v>
      </c>
      <c r="B5" s="57" t="s">
        <v>328</v>
      </c>
      <c r="C5" s="57" t="s">
        <v>329</v>
      </c>
      <c r="D5" s="57" t="s">
        <v>331</v>
      </c>
      <c r="E5" s="57" t="s">
        <v>332</v>
      </c>
      <c r="F5" s="73" t="s">
        <v>313</v>
      </c>
      <c r="G5" s="56" t="s">
        <v>333</v>
      </c>
    </row>
    <row r="6">
      <c r="A6" s="58" t="s">
        <v>334</v>
      </c>
      <c r="B6" s="62" t="s">
        <v>335</v>
      </c>
      <c r="C6" s="62" t="s">
        <v>336</v>
      </c>
      <c r="D6" s="62" t="s">
        <v>310</v>
      </c>
      <c r="E6" s="62" t="s">
        <v>337</v>
      </c>
      <c r="F6" s="74" t="s">
        <v>313</v>
      </c>
      <c r="G6" s="66" t="s">
        <v>338</v>
      </c>
    </row>
  </sheetData>
  <conditionalFormatting sqref="F2:F6">
    <cfRule type="containsText" dxfId="12" priority="1" stopIfTrue="1" operator="containsText" text="PASS">
      <formula>NOT(ISERROR(SEARCH(("PASS"),(F2))))</formula>
    </cfRule>
  </conditionalFormatting>
  <conditionalFormatting sqref="F2:F6">
    <cfRule type="containsText" dxfId="10" priority="2" stopIfTrue="1" operator="containsText" text="FAIL">
      <formula>NOT(ISERROR(SEARCH(("FAIL"),(F2))))</formula>
    </cfRule>
  </conditionalFormatting>
  <drawing r:id="rId1"/>
  <tableParts count="1">
    <tablePart r:id="rId3"/>
  </tableParts>
</worksheet>
</file>